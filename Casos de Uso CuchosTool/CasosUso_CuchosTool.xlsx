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WardenClyffe\Documents\00-Proyectos Desarrollo\01_CuchosTool\DocumentacionCuchosTool\Casos de Uso CuchosTool\"/>
    </mc:Choice>
  </mc:AlternateContent>
  <xr:revisionPtr revIDLastSave="0" documentId="13_ncr:1_{3FFB2ECF-D293-4FA4-96CA-B467D5F4E113}" xr6:coauthVersionLast="47" xr6:coauthVersionMax="47" xr10:uidLastSave="{00000000-0000-0000-0000-000000000000}"/>
  <bookViews>
    <workbookView xWindow="-120" yWindow="-120" windowWidth="29040" windowHeight="15840" activeTab="1" xr2:uid="{D41E7F57-07B2-4C11-BD50-B440CAB39F09}"/>
  </bookViews>
  <sheets>
    <sheet name="Prompt" sheetId="12" r:id="rId1"/>
    <sheet name="CasoUso" sheetId="13" r:id="rId2"/>
    <sheet name="Hoja3" sheetId="14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L43" i="13" l="1"/>
  <c r="L3" i="13"/>
  <c r="L4" i="13"/>
  <c r="L5" i="13"/>
  <c r="L6" i="13"/>
  <c r="L7" i="13"/>
  <c r="L8" i="13"/>
  <c r="L9" i="13"/>
  <c r="L10" i="13"/>
  <c r="L11" i="13"/>
  <c r="L12" i="13"/>
  <c r="L13" i="13"/>
  <c r="L14" i="13"/>
  <c r="L15" i="13"/>
  <c r="L16" i="13"/>
  <c r="L17" i="13"/>
  <c r="L18" i="13"/>
  <c r="L19" i="13"/>
  <c r="L20" i="13"/>
  <c r="L21" i="13"/>
  <c r="L22" i="13"/>
  <c r="L23" i="13"/>
  <c r="L24" i="13"/>
  <c r="L25" i="13"/>
  <c r="L26" i="13"/>
  <c r="L27" i="13"/>
  <c r="L28" i="13"/>
  <c r="L29" i="13"/>
  <c r="L30" i="13"/>
  <c r="L31" i="13"/>
  <c r="L32" i="13"/>
  <c r="L33" i="13"/>
  <c r="L34" i="13"/>
  <c r="L35" i="13"/>
  <c r="L36" i="13"/>
  <c r="L37" i="13"/>
  <c r="L38" i="13"/>
  <c r="L39" i="13"/>
  <c r="L40" i="13"/>
  <c r="L41" i="13"/>
  <c r="L42" i="13"/>
  <c r="L44" i="13"/>
  <c r="L45" i="13"/>
  <c r="L46" i="13"/>
  <c r="L47" i="13"/>
  <c r="L48" i="13"/>
  <c r="L49" i="13"/>
  <c r="L50" i="13"/>
  <c r="L51" i="13"/>
  <c r="L52" i="13"/>
  <c r="L53" i="13"/>
  <c r="L54" i="13"/>
  <c r="L55" i="13"/>
  <c r="L56" i="13"/>
  <c r="L57" i="13"/>
  <c r="L58" i="13"/>
  <c r="L59" i="13"/>
  <c r="L60" i="13"/>
  <c r="L61" i="13"/>
  <c r="L62" i="13"/>
  <c r="L63" i="13"/>
  <c r="L64" i="13"/>
  <c r="L65" i="13"/>
  <c r="L66" i="13"/>
  <c r="L67" i="13"/>
  <c r="L68" i="13"/>
  <c r="L69" i="13"/>
  <c r="L70" i="13"/>
  <c r="L71" i="13"/>
  <c r="L72" i="13"/>
  <c r="L73" i="13"/>
  <c r="L74" i="13"/>
  <c r="L75" i="13"/>
  <c r="L76" i="13"/>
  <c r="L77" i="13"/>
  <c r="L78" i="13"/>
  <c r="L79" i="13"/>
  <c r="L80" i="13"/>
  <c r="L81" i="13"/>
  <c r="L82" i="13"/>
  <c r="L83" i="13"/>
  <c r="L84" i="13"/>
  <c r="L85" i="13"/>
  <c r="L86" i="13"/>
  <c r="L87" i="13"/>
  <c r="L88" i="13"/>
  <c r="L89" i="13"/>
  <c r="L90" i="13"/>
  <c r="L91" i="13"/>
  <c r="L92" i="13"/>
  <c r="L93" i="13"/>
  <c r="L94" i="13"/>
  <c r="L95" i="13"/>
  <c r="L96" i="13"/>
  <c r="L97" i="13"/>
  <c r="L98" i="13"/>
  <c r="L99" i="13"/>
  <c r="L100" i="13"/>
  <c r="L101" i="13"/>
  <c r="L102" i="13"/>
  <c r="L103" i="13"/>
  <c r="L104" i="13"/>
  <c r="L105" i="13"/>
  <c r="L106" i="13"/>
  <c r="L107" i="13"/>
  <c r="L108" i="13"/>
  <c r="L109" i="13"/>
  <c r="L110" i="13"/>
  <c r="L111" i="13"/>
  <c r="L112" i="13"/>
  <c r="L113" i="13"/>
  <c r="L114" i="13"/>
  <c r="L115" i="13"/>
  <c r="L116" i="13"/>
  <c r="L117" i="13"/>
  <c r="L118" i="13"/>
  <c r="L119" i="13"/>
  <c r="L120" i="13"/>
  <c r="L121" i="13"/>
  <c r="L122" i="13"/>
  <c r="L123" i="13"/>
  <c r="L124" i="13"/>
  <c r="L125" i="13"/>
  <c r="L126" i="13"/>
  <c r="L127" i="13"/>
  <c r="L128" i="13"/>
  <c r="L129" i="13"/>
  <c r="L130" i="13"/>
  <c r="L131" i="13"/>
  <c r="L132" i="13"/>
  <c r="L133" i="13"/>
  <c r="L134" i="13"/>
  <c r="L135" i="13"/>
  <c r="L136" i="13"/>
  <c r="L137" i="13"/>
  <c r="L138" i="13"/>
  <c r="L139" i="13"/>
  <c r="L140" i="13"/>
  <c r="L141" i="13"/>
  <c r="L142" i="13"/>
  <c r="L143" i="13"/>
  <c r="L144" i="13"/>
  <c r="L145" i="13"/>
  <c r="L146" i="13"/>
  <c r="L147" i="13"/>
  <c r="L148" i="13"/>
  <c r="L149" i="13"/>
  <c r="L150" i="13"/>
  <c r="L151" i="13"/>
  <c r="L152" i="13"/>
  <c r="L153" i="13"/>
  <c r="L154" i="13"/>
  <c r="L155" i="13"/>
  <c r="L156" i="13"/>
  <c r="L157" i="13"/>
  <c r="L158" i="13"/>
  <c r="L159" i="13"/>
  <c r="L160" i="13"/>
  <c r="L161" i="13"/>
  <c r="L162" i="13"/>
  <c r="L163" i="13"/>
  <c r="L164" i="13"/>
  <c r="L165" i="13"/>
  <c r="L166" i="13"/>
  <c r="L167" i="13"/>
  <c r="L168" i="13"/>
  <c r="L169" i="13"/>
  <c r="L170" i="13"/>
  <c r="L171" i="13"/>
  <c r="L172" i="13"/>
  <c r="L173" i="13"/>
  <c r="L174" i="13"/>
  <c r="L175" i="13"/>
  <c r="L176" i="13"/>
  <c r="L177" i="13"/>
  <c r="L178" i="13"/>
  <c r="L179" i="13"/>
  <c r="L180" i="13"/>
  <c r="L181" i="13"/>
  <c r="L182" i="13"/>
  <c r="L183" i="13"/>
  <c r="L2" i="13"/>
  <c r="B1" i="12" s="1"/>
  <c r="A4" i="12" s="1"/>
</calcChain>
</file>

<file path=xl/sharedStrings.xml><?xml version="1.0" encoding="utf-8"?>
<sst xmlns="http://schemas.openxmlformats.org/spreadsheetml/2006/main" count="2953" uniqueCount="1079">
  <si>
    <t>ID</t>
  </si>
  <si>
    <t>Prioridad</t>
  </si>
  <si>
    <t>CU-EC-001</t>
  </si>
  <si>
    <t>Consultar catálogo</t>
  </si>
  <si>
    <t>Cliente E-Commerce / Visitante</t>
  </si>
  <si>
    <t>RF-EC-001</t>
  </si>
  <si>
    <t>CU-EC-002</t>
  </si>
  <si>
    <t>Buscar productos</t>
  </si>
  <si>
    <t>RF-EC-001, RF-EC-002</t>
  </si>
  <si>
    <t>CU-EC-003</t>
  </si>
  <si>
    <t>Filtrar productos</t>
  </si>
  <si>
    <t>CU-EC-004</t>
  </si>
  <si>
    <t>Consultar ficha de producto</t>
  </si>
  <si>
    <t>RF-EC-002</t>
  </si>
  <si>
    <t>CU-EC-005</t>
  </si>
  <si>
    <t>Consultar disponibilidad</t>
  </si>
  <si>
    <t>RF-EC-003, RF-CORE-002</t>
  </si>
  <si>
    <t>CU-EC-006</t>
  </si>
  <si>
    <t>Comparar productos</t>
  </si>
  <si>
    <t>Media</t>
  </si>
  <si>
    <t>CU-EC-007</t>
  </si>
  <si>
    <t>Gestionar carrito</t>
  </si>
  <si>
    <t>Cliente E-Commerce</t>
  </si>
  <si>
    <t>RF-EC-004, RF-EC-006</t>
  </si>
  <si>
    <t>CU-EC-008</t>
  </si>
  <si>
    <t>Crear pedido desde checkout</t>
  </si>
  <si>
    <t>RF-EC-005, RF-CORE-001</t>
  </si>
  <si>
    <t>CU-EC-009</t>
  </si>
  <si>
    <t>Consultar pedidos propios</t>
  </si>
  <si>
    <t>CU-EC-010</t>
  </si>
  <si>
    <t>Procesar pago</t>
  </si>
  <si>
    <t>Cliente E-Commerce / Pasarela de pagos</t>
  </si>
  <si>
    <t>RF-EC-007</t>
  </si>
  <si>
    <t>CU-EC-011</t>
  </si>
  <si>
    <t>Aplicar promociones, descuentos y cupones</t>
  </si>
  <si>
    <t>RF-EC-010</t>
  </si>
  <si>
    <t>CU-EC-012</t>
  </si>
  <si>
    <t>Generar notificaciones de eventos relevantes</t>
  </si>
  <si>
    <t>Sistema / Cliente E-Commerce</t>
  </si>
  <si>
    <t>RF-EC-011</t>
  </si>
  <si>
    <t>CU-EC-013</t>
  </si>
  <si>
    <t>Registrar cliente E-Commerce</t>
  </si>
  <si>
    <t>Visitante</t>
  </si>
  <si>
    <t>RF-EC-006, RD-001, RNF-005</t>
  </si>
  <si>
    <t>CU-EC-014</t>
  </si>
  <si>
    <t>Iniciar sesión de cliente E-Commerce</t>
  </si>
  <si>
    <t>Cliente registrado</t>
  </si>
  <si>
    <t>RF-EC-006, RNF-005, RI-API-003</t>
  </si>
  <si>
    <t>CU-EC-015</t>
  </si>
  <si>
    <t>Gestionar perfil e información del cliente</t>
  </si>
  <si>
    <t>RF-EC-006, RF-CORE-004</t>
  </si>
  <si>
    <t>CU-EC-016</t>
  </si>
  <si>
    <t>Consultar estado de despacho</t>
  </si>
  <si>
    <t>RF-EC-008, RF-CORE-005</t>
  </si>
  <si>
    <t>CU-EC-017</t>
  </si>
  <si>
    <t>Consultar tracking del pedido</t>
  </si>
  <si>
    <t>RF-EC-009, RF-CORE-005</t>
  </si>
  <si>
    <t>CU-ERP-001</t>
  </si>
  <si>
    <t>Gestionar proveedores</t>
  </si>
  <si>
    <t>COMPRAS</t>
  </si>
  <si>
    <t>RF-CO-001</t>
  </si>
  <si>
    <t>CU-ERP-002</t>
  </si>
  <si>
    <t>Registrar solicitud de compra</t>
  </si>
  <si>
    <t>RF-CO-002</t>
  </si>
  <si>
    <t>CU-ERP-003</t>
  </si>
  <si>
    <t>Crear orden de compra</t>
  </si>
  <si>
    <t>RF-CO-003</t>
  </si>
  <si>
    <t>CU-ERP-004</t>
  </si>
  <si>
    <t>Aprobar orden de compra</t>
  </si>
  <si>
    <t>Usuario autorizado</t>
  </si>
  <si>
    <t>CU-ERP-005</t>
  </si>
  <si>
    <t>Modificar orden de compra</t>
  </si>
  <si>
    <t>CU-ERP-006</t>
  </si>
  <si>
    <t>Consultar orden de compra</t>
  </si>
  <si>
    <t>COMPRAS / Usuario autorizado</t>
  </si>
  <si>
    <t>CU-ERP-007</t>
  </si>
  <si>
    <t>Registrar recepción de mercancía</t>
  </si>
  <si>
    <t>RF-CO-004</t>
  </si>
  <si>
    <t>CU-ERP-008</t>
  </si>
  <si>
    <t>Ingresar mercancía recibida a inventario</t>
  </si>
  <si>
    <t>COMPRAS / INVENTARIO</t>
  </si>
  <si>
    <t>RF-CO-004, RF-IN-001</t>
  </si>
  <si>
    <t>CU-ERP-009</t>
  </si>
  <si>
    <t>Gestionar cuentas por pagar de compras</t>
  </si>
  <si>
    <t>COMPRAS / CONTADOR</t>
  </si>
  <si>
    <t>RF-CO-005, RF-CT-004</t>
  </si>
  <si>
    <t>CU-INV-001</t>
  </si>
  <si>
    <t>Registrar entrada de inventario</t>
  </si>
  <si>
    <t>INVENTARIO / COMPRAS</t>
  </si>
  <si>
    <t>RF-IN-001</t>
  </si>
  <si>
    <t>CU-INV-002</t>
  </si>
  <si>
    <t>Registrar salida de inventario</t>
  </si>
  <si>
    <t>INVENTARIO</t>
  </si>
  <si>
    <t>RF-IN-002</t>
  </si>
  <si>
    <t>CU-INV-003</t>
  </si>
  <si>
    <t>Registrar ajuste de inventario</t>
  </si>
  <si>
    <t>RF-IN-003</t>
  </si>
  <si>
    <t>CU-INV-004</t>
  </si>
  <si>
    <t>Transferir inventario entre bodegas</t>
  </si>
  <si>
    <t>RF-IN-004</t>
  </si>
  <si>
    <t>CU-INV-005</t>
  </si>
  <si>
    <t>Gestionar bodegas</t>
  </si>
  <si>
    <t>RF-IN-005</t>
  </si>
  <si>
    <t>CU-INV-006</t>
  </si>
  <si>
    <t>Consultar Kardex</t>
  </si>
  <si>
    <t>INVENTARIO / AUDITOR</t>
  </si>
  <si>
    <t>RF-IN-006</t>
  </si>
  <si>
    <t>CU-INV-007</t>
  </si>
  <si>
    <t>Configurar y consultar stock mínimo</t>
  </si>
  <si>
    <t>RF-IN-007</t>
  </si>
  <si>
    <t>CU-INV-008</t>
  </si>
  <si>
    <t>Calcular y consultar stock disponible</t>
  </si>
  <si>
    <t>INVENTARIO / Servicios autorizados</t>
  </si>
  <si>
    <t>RF-IN-008, RF-CORE-002</t>
  </si>
  <si>
    <t>CU-INV-009</t>
  </si>
  <si>
    <t>Gestionar stock reservado por pedidos</t>
  </si>
  <si>
    <t>INVENTARIO / Order Service</t>
  </si>
  <si>
    <t>RF-IN-009, RF-CORE-001</t>
  </si>
  <si>
    <t>CU-INV-010</t>
  </si>
  <si>
    <t>Mantener inventario como fuente única de verdad</t>
  </si>
  <si>
    <t>Inventory Service</t>
  </si>
  <si>
    <t>RF-IN-010, RF-CORE-002</t>
  </si>
  <si>
    <t>CU-RH-001</t>
  </si>
  <si>
    <t>Gestionar empleados</t>
  </si>
  <si>
    <t>RRHH</t>
  </si>
  <si>
    <t>RF-RH-001</t>
  </si>
  <si>
    <t>CU-RH-002</t>
  </si>
  <si>
    <t>Gestionar cargos</t>
  </si>
  <si>
    <t>RF-RH-002</t>
  </si>
  <si>
    <t>CU-RH-003</t>
  </si>
  <si>
    <t>Gestionar contratos</t>
  </si>
  <si>
    <t>RF-RH-003</t>
  </si>
  <si>
    <t>CU-RH-004</t>
  </si>
  <si>
    <t>Gestionar horarios</t>
  </si>
  <si>
    <t>RF-RH-004</t>
  </si>
  <si>
    <t>CU-RH-005</t>
  </si>
  <si>
    <t>Registrar ausencias</t>
  </si>
  <si>
    <t>RF-RH-005</t>
  </si>
  <si>
    <t>CU-RH-006</t>
  </si>
  <si>
    <t>Registrar novedades</t>
  </si>
  <si>
    <t>RF-RH-006</t>
  </si>
  <si>
    <t>CU-RH-007</t>
  </si>
  <si>
    <t>Gestionar proceso de nómina</t>
  </si>
  <si>
    <t>RF-RH-007</t>
  </si>
  <si>
    <t>CU-CM-001</t>
  </si>
  <si>
    <t>Gestionar vendedores</t>
  </si>
  <si>
    <t>ADMIN / COMERCIAL</t>
  </si>
  <si>
    <t>RF-CM-001</t>
  </si>
  <si>
    <t>CU-CM-002</t>
  </si>
  <si>
    <t>Gestionar gerentes de zona</t>
  </si>
  <si>
    <t>ADMIN / GERENTE_GENERAL</t>
  </si>
  <si>
    <t>RF-CM-002</t>
  </si>
  <si>
    <t>CU-CM-003</t>
  </si>
  <si>
    <t>Gestionar zonas comerciales</t>
  </si>
  <si>
    <t>RF-CM-003</t>
  </si>
  <si>
    <t>CU-CM-004</t>
  </si>
  <si>
    <t>Gestionar clientes del ámbito ERP</t>
  </si>
  <si>
    <t>COMERCIAL</t>
  </si>
  <si>
    <t>RF-CM-004</t>
  </si>
  <si>
    <t>CU-CM-005</t>
  </si>
  <si>
    <t>Gestionar metas comerciales</t>
  </si>
  <si>
    <t>GERENTE_ZONA / GERENTE_GENERAL</t>
  </si>
  <si>
    <t>RF-CM-005</t>
  </si>
  <si>
    <t>CU-CM-006</t>
  </si>
  <si>
    <t>Gestionar comisiones</t>
  </si>
  <si>
    <t>GERENTE_ZONA / COMERCIAL</t>
  </si>
  <si>
    <t>RF-CM-006</t>
  </si>
  <si>
    <t>CU-CM-007</t>
  </si>
  <si>
    <t>Consultar y gestionar ventas</t>
  </si>
  <si>
    <t>VENDEDOR / GERENTE_ZONA</t>
  </si>
  <si>
    <t>RF-CM-007</t>
  </si>
  <si>
    <t>CU-LG-001</t>
  </si>
  <si>
    <t>Gestionar transportistas</t>
  </si>
  <si>
    <t>LOGISTICA</t>
  </si>
  <si>
    <t>RF-LG-001</t>
  </si>
  <si>
    <t>CU-LG-002</t>
  </si>
  <si>
    <t>Gestionar vehículos</t>
  </si>
  <si>
    <t>RF-LG-002</t>
  </si>
  <si>
    <t>CU-LG-003</t>
  </si>
  <si>
    <t>Gestionar despachos</t>
  </si>
  <si>
    <t>RF-LG-003</t>
  </si>
  <si>
    <t>CU-LG-004</t>
  </si>
  <si>
    <t>Registrar y consultar guías</t>
  </si>
  <si>
    <t>RF-LG-004</t>
  </si>
  <si>
    <t>CU-LG-005</t>
  </si>
  <si>
    <t>Gestionar rutas</t>
  </si>
  <si>
    <t>RF-LG-005</t>
  </si>
  <si>
    <t>CU-LG-006</t>
  </si>
  <si>
    <t>Gestionar estados de entrega</t>
  </si>
  <si>
    <t>RF-LG-006</t>
  </si>
  <si>
    <t>CU-FC-001</t>
  </si>
  <si>
    <t>Gestionar facturas</t>
  </si>
  <si>
    <t>FACTURACION</t>
  </si>
  <si>
    <t>RF-FC-001</t>
  </si>
  <si>
    <t>CU-FC-002</t>
  </si>
  <si>
    <t>Gestionar notas crédito y débito</t>
  </si>
  <si>
    <t>RF-FC-002</t>
  </si>
  <si>
    <t>CU-FC-003</t>
  </si>
  <si>
    <t>Gestionar estados de factura</t>
  </si>
  <si>
    <t>RF-FC-003</t>
  </si>
  <si>
    <t>CU-FC-004</t>
  </si>
  <si>
    <t>Gestionar impuestos de facturación</t>
  </si>
  <si>
    <t>RF-FC-004</t>
  </si>
  <si>
    <t>CU-CT-001</t>
  </si>
  <si>
    <t>Gestionar cuentas contables</t>
  </si>
  <si>
    <t>CONTADOR</t>
  </si>
  <si>
    <t>RF-CT-001</t>
  </si>
  <si>
    <t>CU-CT-002</t>
  </si>
  <si>
    <t>Registrar movimientos contables</t>
  </si>
  <si>
    <t>RF-CT-002</t>
  </si>
  <si>
    <t>CU-CT-003</t>
  </si>
  <si>
    <t>Gestionar comprobantes</t>
  </si>
  <si>
    <t>RF-CT-003</t>
  </si>
  <si>
    <t>CU-CT-004</t>
  </si>
  <si>
    <t>Gestionar cartera</t>
  </si>
  <si>
    <t>RF-CT-004</t>
  </si>
  <si>
    <t>CU-CT-005</t>
  </si>
  <si>
    <t>Realizar conciliación</t>
  </si>
  <si>
    <t>RF-CT-005</t>
  </si>
  <si>
    <t>CU-CT-006</t>
  </si>
  <si>
    <t>Generar estados financieros</t>
  </si>
  <si>
    <t>CONTADOR / GERENTE_GENERAL</t>
  </si>
  <si>
    <t>RF-CT-006</t>
  </si>
  <si>
    <t>CU-GE-001</t>
  </si>
  <si>
    <t>Consultar dashboard gerencial</t>
  </si>
  <si>
    <t>GERENTE_GENERAL / GERENTE_ZONA según alcance</t>
  </si>
  <si>
    <t>RF-GE-001</t>
  </si>
  <si>
    <t>CU-GE-002</t>
  </si>
  <si>
    <t>Consultar indicadores de ventas</t>
  </si>
  <si>
    <t>RF-GE-002</t>
  </si>
  <si>
    <t>CU-GE-003</t>
  </si>
  <si>
    <t>Consultar rentabilidad</t>
  </si>
  <si>
    <t>RF-GE-003</t>
  </si>
  <si>
    <t>CU-GE-004</t>
  </si>
  <si>
    <t>Consultar indicadores de inventario</t>
  </si>
  <si>
    <t>RF-GE-004</t>
  </si>
  <si>
    <t>CU-GE-005</t>
  </si>
  <si>
    <t>Consultar indicadores de compras</t>
  </si>
  <si>
    <t>RF-GE-005</t>
  </si>
  <si>
    <t>CU-GE-006</t>
  </si>
  <si>
    <t>Consultar indicadores de cartera</t>
  </si>
  <si>
    <t>RF-GE-006</t>
  </si>
  <si>
    <t>CU-GE-007</t>
  </si>
  <si>
    <t>Consultar indicadores logísticos</t>
  </si>
  <si>
    <t>RF-GE-007</t>
  </si>
  <si>
    <t>CU-GE-008</t>
  </si>
  <si>
    <t>Consultar indicadores de nómina</t>
  </si>
  <si>
    <t>RF-GE-008</t>
  </si>
  <si>
    <t>CU-GE-009</t>
  </si>
  <si>
    <t>Consultar indicadores comerciales</t>
  </si>
  <si>
    <t>RF-GE-009</t>
  </si>
  <si>
    <t>CU-SEC-001</t>
  </si>
  <si>
    <t>Administrar roles y perfiles</t>
  </si>
  <si>
    <t>ADMIN</t>
  </si>
  <si>
    <t>RS-001..RS-005</t>
  </si>
  <si>
    <t>CU-SEC-002</t>
  </si>
  <si>
    <t>Asignar rol a usuario</t>
  </si>
  <si>
    <t>CU-SEC-003</t>
  </si>
  <si>
    <t>Configurar alcance por zona</t>
  </si>
  <si>
    <t>RS-003</t>
  </si>
  <si>
    <t>CU-SEC-004</t>
  </si>
  <si>
    <t>Configurar alcance por vendedor</t>
  </si>
  <si>
    <t>CU-SEC-005</t>
  </si>
  <si>
    <t>Consultar matriz de roles y alcance</t>
  </si>
  <si>
    <t>CU-SEC-006</t>
  </si>
  <si>
    <t>Aplicar política de acceso a módulo</t>
  </si>
  <si>
    <t>Sistema</t>
  </si>
  <si>
    <t>RNF-005, RS-001</t>
  </si>
  <si>
    <t>CU-SEC-007</t>
  </si>
  <si>
    <t>Restringir datos por zona y vendedor</t>
  </si>
  <si>
    <t>RS-003, RNF-005</t>
  </si>
  <si>
    <t>CU-SEC-008</t>
  </si>
  <si>
    <t>Consultar auditoría de operaciones</t>
  </si>
  <si>
    <t>AUDITOR</t>
  </si>
  <si>
    <t>RNF-006, RNF-012</t>
  </si>
  <si>
    <t>CU-SEC-009</t>
  </si>
  <si>
    <t>Autenticar usuarios internos</t>
  </si>
  <si>
    <t>Usuario interno / Identity Provider</t>
  </si>
  <si>
    <t>RS-001, RNF-005</t>
  </si>
  <si>
    <t>CU-SEC-010</t>
  </si>
  <si>
    <t>Validar autorización de API protegida</t>
  </si>
  <si>
    <t>API Gateway / Servicio</t>
  </si>
  <si>
    <t>RI-API-003, RNF-005</t>
  </si>
  <si>
    <t>CU-SEC-011</t>
  </si>
  <si>
    <t>Gestionar secretos mediante Secret Manager</t>
  </si>
  <si>
    <t>Sistema / DevOps</t>
  </si>
  <si>
    <t>RDV-009, RGC-08</t>
  </si>
  <si>
    <t>CU-SEC-012</t>
  </si>
  <si>
    <t>Aplicar aislamiento por zona</t>
  </si>
  <si>
    <t>CA-06</t>
  </si>
  <si>
    <t>CU-SEC-013</t>
  </si>
  <si>
    <t>Aplicar aislamiento por vendedor</t>
  </si>
  <si>
    <t>CA-05</t>
  </si>
  <si>
    <t>CU-SEC-014</t>
  </si>
  <si>
    <t>Registrar quién, qué, cuándo y resultado</t>
  </si>
  <si>
    <t>RNF-012</t>
  </si>
  <si>
    <t>CU-SEC-015</t>
  </si>
  <si>
    <t>Mantener trazabilidad de operación crítica</t>
  </si>
  <si>
    <t>RNF-006</t>
  </si>
  <si>
    <t>CU-DEV-001</t>
  </si>
  <si>
    <t>Gestionar código y configuración en Git</t>
  </si>
  <si>
    <t>Equipo técnico</t>
  </si>
  <si>
    <t>RDV-001</t>
  </si>
  <si>
    <t>CU-DEV-002</t>
  </si>
  <si>
    <t>Gestionar ramas y pull requests con revisión</t>
  </si>
  <si>
    <t>RDV-002</t>
  </si>
  <si>
    <t>CU-DEV-003</t>
  </si>
  <si>
    <t>Ejecutar CI con build, pruebas y validaciones</t>
  </si>
  <si>
    <t>Pipeline</t>
  </si>
  <si>
    <t>RDV-003</t>
  </si>
  <si>
    <t>CU-DEV-004</t>
  </si>
  <si>
    <t>Ejecutar controles de calidad y seguridad</t>
  </si>
  <si>
    <t>RDV-004, RDV-013</t>
  </si>
  <si>
    <t>CU-DEV-005</t>
  </si>
  <si>
    <t>Ejecutar pruebas automatizadas</t>
  </si>
  <si>
    <t>RDV-005</t>
  </si>
  <si>
    <t>CU-DEV-006</t>
  </si>
  <si>
    <t>Desplegar artefactos aprobados</t>
  </si>
  <si>
    <t>RDV-006, RDV-007</t>
  </si>
  <si>
    <t>CU-DEV-007</t>
  </si>
  <si>
    <t>Gestionar configuración por ambiente</t>
  </si>
  <si>
    <t>RDV-008</t>
  </si>
  <si>
    <t>CU-DEV-008</t>
  </si>
  <si>
    <t>Ejecutar rollback de despliegue</t>
  </si>
  <si>
    <t>RDV-011</t>
  </si>
  <si>
    <t>CU-DEV-009</t>
  </si>
  <si>
    <t>Provisionar infraestructura reproducible mediante IaC</t>
  </si>
  <si>
    <t>RDV-012</t>
  </si>
  <si>
    <t>CU-DEV-010</t>
  </si>
  <si>
    <t>Mantener trazabilidad de despliegues</t>
  </si>
  <si>
    <t>RDV-014</t>
  </si>
  <si>
    <t>CU-OBS-001</t>
  </si>
  <si>
    <t>Centralizar logs, métricas y alertas</t>
  </si>
  <si>
    <t>RNF-007, RDV-010, RGC-09</t>
  </si>
  <si>
    <t>CU-OBS-002</t>
  </si>
  <si>
    <t>Correlacionar errores y operaciones críticas</t>
  </si>
  <si>
    <t>CU-DATA-001</t>
  </si>
  <si>
    <t>Separar analítica de operación transaccional</t>
  </si>
  <si>
    <t>Data / BI</t>
  </si>
  <si>
    <t>CA-12</t>
  </si>
  <si>
    <t>CU-DATA-002</t>
  </si>
  <si>
    <t>Construir históricos y analítica en BigQuery cuando se justifique</t>
  </si>
  <si>
    <t>RGC-11</t>
  </si>
  <si>
    <t>CU-ARCH-001</t>
  </si>
  <si>
    <t>Coordinar pedido empresarial único</t>
  </si>
  <si>
    <t>Order Service / ERP / E-Commerce</t>
  </si>
  <si>
    <t>RF-CORE-001, CA-02</t>
  </si>
  <si>
    <t>CU-ARCH-002</t>
  </si>
  <si>
    <t>RF-CORE-002, CA-03</t>
  </si>
  <si>
    <t>CU-ARCH-003</t>
  </si>
  <si>
    <t>Ejecutar sincronización síncrona mediante REST/JSON</t>
  </si>
  <si>
    <t>Servicios autorizados</t>
  </si>
  <si>
    <t>RF-CORE-006, RI-API-001</t>
  </si>
  <si>
    <t>CU-ARCH-004</t>
  </si>
  <si>
    <t>Ejecutar sincronización asíncrona mediante Pub/Sub</t>
  </si>
  <si>
    <t>RF-CORE-007, RI-EVT-001..009</t>
  </si>
  <si>
    <t>CU-ARCH-005</t>
  </si>
  <si>
    <t>Evitar acceso directo entre E-Commerce y ERP</t>
  </si>
  <si>
    <t>RF-CORE-008, CA-01</t>
  </si>
  <si>
    <t>CU-ARCH-006</t>
  </si>
  <si>
    <t>Mantener separación entre transacciones y BI</t>
  </si>
  <si>
    <t>CU-ARCH-007</t>
  </si>
  <si>
    <t>Evolucionar módulo a microservicio cuando exista justificación</t>
  </si>
  <si>
    <t>Arquitectura</t>
  </si>
  <si>
    <t>RNF-008</t>
  </si>
  <si>
    <t>CU-INT-001</t>
  </si>
  <si>
    <t>Publicar evento OrderCreated</t>
  </si>
  <si>
    <t>Order Service</t>
  </si>
  <si>
    <t>RI-EVT-001</t>
  </si>
  <si>
    <t>CU-INT-002</t>
  </si>
  <si>
    <t>Publicar evento OrderPaid</t>
  </si>
  <si>
    <t>Pagos / Order Service</t>
  </si>
  <si>
    <t>RI-EVT-002</t>
  </si>
  <si>
    <t>CU-INT-003</t>
  </si>
  <si>
    <t>Publicar evento InventoryUpdated</t>
  </si>
  <si>
    <t>RI-EVT-003</t>
  </si>
  <si>
    <t>CU-INT-004</t>
  </si>
  <si>
    <t>Publicar evento InvoiceGenerated</t>
  </si>
  <si>
    <t>Facturación</t>
  </si>
  <si>
    <t>RI-EVT-004</t>
  </si>
  <si>
    <t>CU-INT-005</t>
  </si>
  <si>
    <t>Publicar evento OrderDispatched</t>
  </si>
  <si>
    <t>Logística</t>
  </si>
  <si>
    <t>RI-EVT-005</t>
  </si>
  <si>
    <t>CU-INT-006</t>
  </si>
  <si>
    <t>Publicar evento ShipmentCreated</t>
  </si>
  <si>
    <t>RI-EVT-006</t>
  </si>
  <si>
    <t>CU-INT-007</t>
  </si>
  <si>
    <t>Publicar evento OrderDelivered</t>
  </si>
  <si>
    <t>RI-EVT-007</t>
  </si>
  <si>
    <t>CU-INT-008</t>
  </si>
  <si>
    <t>Publicar evento EmployeeCreated</t>
  </si>
  <si>
    <t>RI-EVT-008</t>
  </si>
  <si>
    <t>CU-INT-009</t>
  </si>
  <si>
    <t>Publicar evento PurchaseReceived</t>
  </si>
  <si>
    <t>Compras</t>
  </si>
  <si>
    <t>RI-EVT-009</t>
  </si>
  <si>
    <t>CU-INT-010</t>
  </si>
  <si>
    <t>Versionar y documentar contratos de API</t>
  </si>
  <si>
    <t>RI-API-004, RNF-011</t>
  </si>
  <si>
    <t>CU-INT-011</t>
  </si>
  <si>
    <t>Garantizar idempotencia de consumidores de eventos</t>
  </si>
  <si>
    <t>Servicios consumidores</t>
  </si>
  <si>
    <t>R-03</t>
  </si>
  <si>
    <t>CU-INT-012</t>
  </si>
  <si>
    <t>Gestionar reintentos y fallos de eventos</t>
  </si>
  <si>
    <t>R-03, R-06</t>
  </si>
  <si>
    <t>CU-INT-013</t>
  </si>
  <si>
    <t>Versionar contratos de eventos</t>
  </si>
  <si>
    <t>CA-04, RNF-011</t>
  </si>
  <si>
    <t>CU-INT-014</t>
  </si>
  <si>
    <t>Gestionar correlación de operaciones distribuidas</t>
  </si>
  <si>
    <t>RNF-006, RNF-007</t>
  </si>
  <si>
    <t>CU-GCP-001</t>
  </si>
  <si>
    <t>Exponer entrada pública mediante Cloud Load Balancing cuando aplique</t>
  </si>
  <si>
    <t>RGC-01</t>
  </si>
  <si>
    <t>CU-GCP-002</t>
  </si>
  <si>
    <t>Exponer APIs mediante API Gateway</t>
  </si>
  <si>
    <t>RGC-02</t>
  </si>
  <si>
    <t>CU-GCP-003</t>
  </si>
  <si>
    <t>Ejecutar servicios en Cloud Run</t>
  </si>
  <si>
    <t>RGC-03</t>
  </si>
  <si>
    <t>CU-GCP-004</t>
  </si>
  <si>
    <t>Transportar eventos mediante Pub/Sub</t>
  </si>
  <si>
    <t>RGC-04</t>
  </si>
  <si>
    <t>CU-GCP-005</t>
  </si>
  <si>
    <t>Persistir transacciones en Cloud SQL PostgreSQL</t>
  </si>
  <si>
    <t>RGC-05</t>
  </si>
  <si>
    <t>CU-GCP-006</t>
  </si>
  <si>
    <t>Almacenar imágenes y documentos en Cloud Storage</t>
  </si>
  <si>
    <t>RGC-06</t>
  </si>
  <si>
    <t>CU-GCP-007</t>
  </si>
  <si>
    <t>Distribuir contenido estático mediante Cloud CDN cuando aplique</t>
  </si>
  <si>
    <t>RGC-07</t>
  </si>
  <si>
    <t>CU-GCP-008</t>
  </si>
  <si>
    <t>Gestionar secretos en Secret Manager</t>
  </si>
  <si>
    <t>RGC-08</t>
  </si>
  <si>
    <t>CU-GCP-009</t>
  </si>
  <si>
    <t>Centralizar observabilidad con Logging y Monitoring</t>
  </si>
  <si>
    <t>RGC-09</t>
  </si>
  <si>
    <t>CU-GCP-010</t>
  </si>
  <si>
    <t>Ejecutar procesos programados y asíncronos</t>
  </si>
  <si>
    <t>RGC-10</t>
  </si>
  <si>
    <t>CU-GCP-011</t>
  </si>
  <si>
    <t>Construir analítica en BigQuery cuando se justifique</t>
  </si>
  <si>
    <t>EMPRENDEDOR</t>
  </si>
  <si>
    <t xml:space="preserve">No. </t>
  </si>
  <si>
    <t>01</t>
  </si>
  <si>
    <t>02</t>
  </si>
  <si>
    <t>03</t>
  </si>
  <si>
    <t>04</t>
  </si>
  <si>
    <t>05</t>
  </si>
  <si>
    <t>06</t>
  </si>
  <si>
    <t>07</t>
  </si>
  <si>
    <t>08</t>
  </si>
  <si>
    <t>09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</si>
  <si>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</si>
  <si>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</si>
  <si>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</si>
  <si>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</si>
  <si>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</si>
  <si>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</si>
  <si>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</si>
  <si>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</si>
  <si>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</si>
  <si>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</si>
  <si>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</si>
  <si>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</si>
  <si>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</si>
  <si>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</si>
  <si>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</si>
  <si>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</si>
  <si>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</si>
  <si>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</si>
  <si>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</si>
  <si>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</si>
  <si>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</si>
  <si>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</si>
  <si>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32</t>
  </si>
  <si>
    <t>33</t>
  </si>
  <si>
    <t>34</t>
  </si>
  <si>
    <t>35</t>
  </si>
  <si>
    <t>36</t>
  </si>
  <si>
    <t>37</t>
  </si>
  <si>
    <t>38</t>
  </si>
  <si>
    <t>39</t>
  </si>
  <si>
    <t>40</t>
  </si>
  <si>
    <t>41</t>
  </si>
  <si>
    <t>42</t>
  </si>
  <si>
    <t>43</t>
  </si>
  <si>
    <t>44</t>
  </si>
  <si>
    <t>45</t>
  </si>
  <si>
    <t>46</t>
  </si>
  <si>
    <t>47</t>
  </si>
  <si>
    <t>48</t>
  </si>
  <si>
    <t>49</t>
  </si>
  <si>
    <t>50</t>
  </si>
  <si>
    <t>51</t>
  </si>
  <si>
    <t>52</t>
  </si>
  <si>
    <t>53</t>
  </si>
  <si>
    <t>54</t>
  </si>
  <si>
    <t>55</t>
  </si>
  <si>
    <t>56</t>
  </si>
  <si>
    <t>57</t>
  </si>
  <si>
    <t>58</t>
  </si>
  <si>
    <t>59</t>
  </si>
  <si>
    <t>60</t>
  </si>
  <si>
    <t>61</t>
  </si>
  <si>
    <t>62</t>
  </si>
  <si>
    <t>63</t>
  </si>
  <si>
    <t>64</t>
  </si>
  <si>
    <t>65</t>
  </si>
  <si>
    <t>66</t>
  </si>
  <si>
    <t>67</t>
  </si>
  <si>
    <t>68</t>
  </si>
  <si>
    <t>69</t>
  </si>
  <si>
    <t>70</t>
  </si>
  <si>
    <t>71</t>
  </si>
  <si>
    <t>72</t>
  </si>
  <si>
    <t>73</t>
  </si>
  <si>
    <t>74</t>
  </si>
  <si>
    <t>75</t>
  </si>
  <si>
    <t>76</t>
  </si>
  <si>
    <t>77</t>
  </si>
  <si>
    <t>78</t>
  </si>
  <si>
    <t>79</t>
  </si>
  <si>
    <t>80</t>
  </si>
  <si>
    <t>81</t>
  </si>
  <si>
    <t>82</t>
  </si>
  <si>
    <t>83</t>
  </si>
  <si>
    <t>84</t>
  </si>
  <si>
    <t>85</t>
  </si>
  <si>
    <t>86</t>
  </si>
  <si>
    <t>87</t>
  </si>
  <si>
    <t>88</t>
  </si>
  <si>
    <t>89</t>
  </si>
  <si>
    <t>90</t>
  </si>
  <si>
    <t>91</t>
  </si>
  <si>
    <t>92</t>
  </si>
  <si>
    <t>93</t>
  </si>
  <si>
    <t>94</t>
  </si>
  <si>
    <t>95</t>
  </si>
  <si>
    <t>96</t>
  </si>
  <si>
    <t>97</t>
  </si>
  <si>
    <t>98</t>
  </si>
  <si>
    <t>99</t>
  </si>
  <si>
    <t>100</t>
  </si>
  <si>
    <t>101</t>
  </si>
  <si>
    <t>102</t>
  </si>
  <si>
    <t>103</t>
  </si>
  <si>
    <t>104</t>
  </si>
  <si>
    <t>105</t>
  </si>
  <si>
    <t>106</t>
  </si>
  <si>
    <t>107</t>
  </si>
  <si>
    <t>108</t>
  </si>
  <si>
    <t>109</t>
  </si>
  <si>
    <t>110</t>
  </si>
  <si>
    <t>111</t>
  </si>
  <si>
    <t>112</t>
  </si>
  <si>
    <t>113</t>
  </si>
  <si>
    <t>114</t>
  </si>
  <si>
    <t>115</t>
  </si>
  <si>
    <t>116</t>
  </si>
  <si>
    <t>117</t>
  </si>
  <si>
    <t>118</t>
  </si>
  <si>
    <t>119</t>
  </si>
  <si>
    <t>120</t>
  </si>
  <si>
    <t>121</t>
  </si>
  <si>
    <t>122</t>
  </si>
  <si>
    <t>123</t>
  </si>
  <si>
    <t>124</t>
  </si>
  <si>
    <t>125</t>
  </si>
  <si>
    <t>126</t>
  </si>
  <si>
    <t>127</t>
  </si>
  <si>
    <t>128</t>
  </si>
  <si>
    <t>129</t>
  </si>
  <si>
    <t>130</t>
  </si>
  <si>
    <t>131</t>
  </si>
  <si>
    <t>132</t>
  </si>
  <si>
    <t>133</t>
  </si>
  <si>
    <t>134</t>
  </si>
  <si>
    <t>135</t>
  </si>
  <si>
    <t>136</t>
  </si>
  <si>
    <t>137</t>
  </si>
  <si>
    <t>138</t>
  </si>
  <si>
    <t>139</t>
  </si>
  <si>
    <t>140</t>
  </si>
  <si>
    <t>E-Commerce</t>
  </si>
  <si>
    <t>Objetivo resumido</t>
  </si>
  <si>
    <t>Google Cloud</t>
  </si>
  <si>
    <t>CU-EM-001</t>
  </si>
  <si>
    <t>Enrolar emprendedor mediante Gerente de Zona</t>
  </si>
  <si>
    <t>GERENTE_ZONA</t>
  </si>
  <si>
    <t>CU-EM-002</t>
  </si>
  <si>
    <t>Gestionar información base y ciclo de vida del emprendedor</t>
  </si>
  <si>
    <t>GERENTE_ZONA / ADMINISTRADOR_CUCHOSTOOL</t>
  </si>
  <si>
    <t>CU-EM-003</t>
  </si>
  <si>
    <t>Cargar y gestionar paquete documental de validación</t>
  </si>
  <si>
    <t>CU-EM-004</t>
  </si>
  <si>
    <t>Validar y activar emprendedor</t>
  </si>
  <si>
    <t>CU-EM-005</t>
  </si>
  <si>
    <t>Configurar medio de envío del emprendedor</t>
  </si>
  <si>
    <t>GERENTE_ZONA / EMPRENDEDOR</t>
  </si>
  <si>
    <t>CU-EM-006</t>
  </si>
  <si>
    <t>Configurar medio de pago electrónico para dispersión</t>
  </si>
  <si>
    <t>CU-EM-007</t>
  </si>
  <si>
    <t>Crear producto del emprendedor</t>
  </si>
  <si>
    <t>CU-EM-008</t>
  </si>
  <si>
    <t>Consultar y gestionar catálogo propio por estados</t>
  </si>
  <si>
    <t>CU-EM-009</t>
  </si>
  <si>
    <t>Validar requisitos multimedia del producto</t>
  </si>
  <si>
    <t>Sistema / EMPRENDEDOR</t>
  </si>
  <si>
    <t>CU-EM-010</t>
  </si>
  <si>
    <t>Enviar producto a aval</t>
  </si>
  <si>
    <t>CU-EM-011</t>
  </si>
  <si>
    <t>Avalar, rechazar o solicitar ajustes de producto</t>
  </si>
  <si>
    <t>CU-EM-012</t>
  </si>
  <si>
    <t>Activar o inactivar producto avalado</t>
  </si>
  <si>
    <t>GERENTE_ZONA / EMPRENDEDOR autorizado</t>
  </si>
  <si>
    <t>CU-EM-013</t>
  </si>
  <si>
    <t>Gestionar ofertas de oportunidad única o relámpago</t>
  </si>
  <si>
    <t>CU-EM-014</t>
  </si>
  <si>
    <t>Consultar y descargar reportes del emprendedor</t>
  </si>
  <si>
    <t>CU-EM-015</t>
  </si>
  <si>
    <t>Confirmar entrega física para habilitar dispersión</t>
  </si>
  <si>
    <t>CU-EM-016</t>
  </si>
  <si>
    <t>Autorizar dispersión al emprendedor</t>
  </si>
  <si>
    <t>Usuario autorizado / Sistema</t>
  </si>
  <si>
    <t>CU-EM-017</t>
  </si>
  <si>
    <t>Ejecutar y consultar estado de dispersión</t>
  </si>
  <si>
    <t>Pagos / Servicio externo</t>
  </si>
  <si>
    <t>CU-EM-018</t>
  </si>
  <si>
    <t>Gestionar comisión por producto vendido</t>
  </si>
  <si>
    <t>COMERCIAL / Sistema</t>
  </si>
  <si>
    <t>CU-EM-019</t>
  </si>
  <si>
    <t>Registrar integración de servicio logístico suministrado por CuchosTool</t>
  </si>
  <si>
    <t>Sistema / LOGISTICA</t>
  </si>
  <si>
    <t>CU-EM-020</t>
  </si>
  <si>
    <t>Aplicar aislamiento y autorización por emprendedor</t>
  </si>
  <si>
    <t>CU-SGC-001</t>
  </si>
  <si>
    <t>Acceder al Centro de Ayuda y Soporte</t>
  </si>
  <si>
    <t>VISITANTE / CLIENTE</t>
  </si>
  <si>
    <t>CU-SGC-002</t>
  </si>
  <si>
    <t>Crear caso o ticket de soporte</t>
  </si>
  <si>
    <t>CLIENTE / USUARIO_REGISTRADO</t>
  </si>
  <si>
    <t>CU-SGC-003</t>
  </si>
  <si>
    <t>Iniciar caso desde pedido, detalle o producto adquirido</t>
  </si>
  <si>
    <t>CLIENTE</t>
  </si>
  <si>
    <t>CU-SGC-004</t>
  </si>
  <si>
    <t>Consultar mis solicitudes, garantías y estado del caso</t>
  </si>
  <si>
    <t>CU-SGC-005</t>
  </si>
  <si>
    <t>Actualizar información y responder solicitudes del caso</t>
  </si>
  <si>
    <t>CLIENTE / EMPRENDEDOR / GERENTE_ZONA / SOPORTE</t>
  </si>
  <si>
    <t>CU-SGC-006</t>
  </si>
  <si>
    <t>Adjuntar y gestionar evidencias seguras</t>
  </si>
  <si>
    <t>CLIENTE / Usuario autorizado</t>
  </si>
  <si>
    <t>CU-SGC-007</t>
  </si>
  <si>
    <t>Asignar o reasignar caso</t>
  </si>
  <si>
    <t>AGENTE_SOPORTE / SUPERVISOR_SOPORTE</t>
  </si>
  <si>
    <t>CU-SGC-008</t>
  </si>
  <si>
    <t>Gestionar prioridad del caso</t>
  </si>
  <si>
    <t>AGENTE_SOPORTE / SUPERVISOR_SOPORTE / Sistema</t>
  </si>
  <si>
    <t>CU-SGC-009</t>
  </si>
  <si>
    <t>Gestionar estados y transiciones del caso</t>
  </si>
  <si>
    <t>CU-SGC-010</t>
  </si>
  <si>
    <t>Escalar caso a responsable o tercero</t>
  </si>
  <si>
    <t>CU-SGC-011</t>
  </si>
  <si>
    <t>Gestionar SLA y tiempos de atención</t>
  </si>
  <si>
    <t>Sistema / SUPERVISOR_SOPORTE</t>
  </si>
  <si>
    <t>CU-SGC-012</t>
  </si>
  <si>
    <t>Atender soporte, incidentes, quejas, reclamos y peticiones</t>
  </si>
  <si>
    <t>AGENTE_SOPORTE</t>
  </si>
  <si>
    <t>CU-SGC-013</t>
  </si>
  <si>
    <t>Solicitar garantía</t>
  </si>
  <si>
    <t>CU-SGC-014</t>
  </si>
  <si>
    <t>Evaluar y decidir garantía</t>
  </si>
  <si>
    <t>RESPONSABLE_GARANTIAS</t>
  </si>
  <si>
    <t>CU-SGC-015</t>
  </si>
  <si>
    <t>Solicitar devolución, cambio, recogida o reemplazo</t>
  </si>
  <si>
    <t>RESPONSABLE_GARANTIAS / Sistema</t>
  </si>
  <si>
    <t>CU-SGC-016</t>
  </si>
  <si>
    <t>Solicitar reembolso o reversión al módulo de pagos</t>
  </si>
  <si>
    <t>CU-SGC-017</t>
  </si>
  <si>
    <t>Cerrar, reabrir o cancelar caso</t>
  </si>
  <si>
    <t>CU-SGC-018</t>
  </si>
  <si>
    <t>Enviar encuesta de satisfacción</t>
  </si>
  <si>
    <t>CU-SGC-019</t>
  </si>
  <si>
    <t>Registrar calificación de atención y servicio</t>
  </si>
  <si>
    <t>CU-SGC-020</t>
  </si>
  <si>
    <t>Detectar patrones e incidentes de calidad</t>
  </si>
  <si>
    <t>Sistema / RESPONSABLE_CALIDAD</t>
  </si>
  <si>
    <t>CU-SGC-021</t>
  </si>
  <si>
    <t>Generar alerta de calidad por umbrales</t>
  </si>
  <si>
    <t>CU-SGC-022</t>
  </si>
  <si>
    <t>Crear y gestionar acción correctiva</t>
  </si>
  <si>
    <t>RESPONSABLE_CALIDAD</t>
  </si>
  <si>
    <t>CU-SGC-023</t>
  </si>
  <si>
    <t>Consultar dashboard e indicadores de calidad</t>
  </si>
  <si>
    <t>RESPONSABLE_CALIDAD / SUPERVISOR_SOPORTE / GERENTE_ZONA según alcance</t>
  </si>
  <si>
    <t>CU-SGC-024</t>
  </si>
  <si>
    <t>Consultar casos relacionados con productos propios</t>
  </si>
  <si>
    <t>CU-SGC-025</t>
  </si>
  <si>
    <t>Gestionar participación del Gerente de Zona en casos</t>
  </si>
  <si>
    <t>CU-SGC-026</t>
  </si>
  <si>
    <t>Gestionar bandeja operativa del equipo de soporte</t>
  </si>
  <si>
    <t>Nuevo</t>
  </si>
  <si>
    <t>141</t>
  </si>
  <si>
    <t>142</t>
  </si>
  <si>
    <t>143</t>
  </si>
  <si>
    <t>144</t>
  </si>
  <si>
    <t>145</t>
  </si>
  <si>
    <t>146</t>
  </si>
  <si>
    <t>147</t>
  </si>
  <si>
    <t>148</t>
  </si>
  <si>
    <t>149</t>
  </si>
  <si>
    <t>150</t>
  </si>
  <si>
    <t>151</t>
  </si>
  <si>
    <t>152</t>
  </si>
  <si>
    <t>153</t>
  </si>
  <si>
    <t>154</t>
  </si>
  <si>
    <t>155</t>
  </si>
  <si>
    <t>156</t>
  </si>
  <si>
    <t>157</t>
  </si>
  <si>
    <t>158</t>
  </si>
  <si>
    <t>159</t>
  </si>
  <si>
    <t>160</t>
  </si>
  <si>
    <t>161</t>
  </si>
  <si>
    <t>162</t>
  </si>
  <si>
    <t>163</t>
  </si>
  <si>
    <t>164</t>
  </si>
  <si>
    <t>165</t>
  </si>
  <si>
    <t>166</t>
  </si>
  <si>
    <t>167</t>
  </si>
  <si>
    <t>168</t>
  </si>
  <si>
    <t>169</t>
  </si>
  <si>
    <t>170</t>
  </si>
  <si>
    <t>171</t>
  </si>
  <si>
    <t>172</t>
  </si>
  <si>
    <t>173</t>
  </si>
  <si>
    <t>174</t>
  </si>
  <si>
    <t>175</t>
  </si>
  <si>
    <t>176</t>
  </si>
  <si>
    <t>177</t>
  </si>
  <si>
    <t>178</t>
  </si>
  <si>
    <t>179</t>
  </si>
  <si>
    <t>180</t>
  </si>
  <si>
    <t>181</t>
  </si>
  <si>
    <t>182</t>
  </si>
  <si>
    <t>Cambio / 
Observación</t>
  </si>
  <si>
    <t>CU-UI-001</t>
  </si>
  <si>
    <t>Gestionar publicaciones de emprendedor aliado</t>
  </si>
  <si>
    <t>CU-UI-002</t>
  </si>
  <si>
    <t>Gestionar catálogo propio de emprendedor</t>
  </si>
  <si>
    <t>CU-UI-003</t>
  </si>
  <si>
    <t>Gestionar despachos directos de emprendedor</t>
  </si>
  <si>
    <t>CU-UI-004</t>
  </si>
  <si>
    <t>Consultar liquidaciones de emprendedor</t>
  </si>
  <si>
    <t>RF-EMP-004</t>
  </si>
  <si>
    <t>RF-EMP-005</t>
  </si>
  <si>
    <t>RF-EMP-006</t>
  </si>
  <si>
    <t>RF-EMP-007</t>
  </si>
  <si>
    <t>RF-EMP-008</t>
  </si>
  <si>
    <t>RF-EMP-009</t>
  </si>
  <si>
    <t>RF-EMP-010</t>
  </si>
  <si>
    <t>RF-EMP-011</t>
  </si>
  <si>
    <t>RF-EMP-012</t>
  </si>
  <si>
    <t>RF-EMP-013</t>
  </si>
  <si>
    <t>RF-EMP-014</t>
  </si>
  <si>
    <t>RF-EMP-015</t>
  </si>
  <si>
    <t>RF-EMP-016</t>
  </si>
  <si>
    <t>RF-EMP-017</t>
  </si>
  <si>
    <t>RF-EMP-018</t>
  </si>
  <si>
    <t>RF-EMP-019</t>
  </si>
  <si>
    <t>RF-EMP-020</t>
  </si>
  <si>
    <t>Actor principal</t>
  </si>
  <si>
    <t>Complejidad</t>
  </si>
  <si>
    <t>Módulo</t>
  </si>
  <si>
    <t>RF relacionados</t>
  </si>
  <si>
    <t>Esencial</t>
  </si>
  <si>
    <t>E-Commerce / Catálogo</t>
  </si>
  <si>
    <t>E-Commerce / Productos</t>
  </si>
  <si>
    <t>E-Commerce / Inventario</t>
  </si>
  <si>
    <t>Deseable</t>
  </si>
  <si>
    <t>E-Commerce / Carrito</t>
  </si>
  <si>
    <t>E-Commerce / Pedidos</t>
  </si>
  <si>
    <t>E-Commerce / Pagos</t>
  </si>
  <si>
    <t>E-Commerce / Promociones</t>
  </si>
  <si>
    <t>E-Commerce / Notificaciones</t>
  </si>
  <si>
    <t>E-Commerce / Clientes</t>
  </si>
  <si>
    <t>E-Commerce / Logística</t>
  </si>
  <si>
    <t>E-Commerce / Seguimiento</t>
  </si>
  <si>
    <t>ERP / Compras</t>
  </si>
  <si>
    <t>ERP / Compras / Inventario</t>
  </si>
  <si>
    <t>ERP / Inventario</t>
  </si>
  <si>
    <t>Core / Inventario</t>
  </si>
  <si>
    <t>ERP / RRHH</t>
  </si>
  <si>
    <t>ERP / Nómina</t>
  </si>
  <si>
    <t>ERP / Comercial</t>
  </si>
  <si>
    <t>ERP / Logística</t>
  </si>
  <si>
    <t>ERP / Facturación</t>
  </si>
  <si>
    <t>ERP / Contabilidad</t>
  </si>
  <si>
    <t>ERP / Gerencia</t>
  </si>
  <si>
    <t>Seguridad</t>
  </si>
  <si>
    <t>Seguridad / ABAC</t>
  </si>
  <si>
    <t>Seguridad / Auditoría</t>
  </si>
  <si>
    <t>Seguridad / APIs</t>
  </si>
  <si>
    <t>Seguridad / Cloud</t>
  </si>
  <si>
    <t>DevOps</t>
  </si>
  <si>
    <t>DevSecOps</t>
  </si>
  <si>
    <t>DevOps / QA</t>
  </si>
  <si>
    <t>DevOps / CD</t>
  </si>
  <si>
    <t>DevOps / Infraestructura</t>
  </si>
  <si>
    <t>Observabilidad</t>
  </si>
  <si>
    <t>Arquitectura / Order Service</t>
  </si>
  <si>
    <t>Arquitectura / Inventario</t>
  </si>
  <si>
    <t>Arquitectura / Integración</t>
  </si>
  <si>
    <t>Arquitectura / Seguridad</t>
  </si>
  <si>
    <t>Arquitectura / Data</t>
  </si>
  <si>
    <t>Arquitectura / Evolución</t>
  </si>
  <si>
    <t>Integración / Eventos</t>
  </si>
  <si>
    <t>Integración / APIs</t>
  </si>
  <si>
    <t>Integración / Pub/Sub</t>
  </si>
  <si>
    <t>Integración / Observabilidad</t>
  </si>
  <si>
    <t>Google Cloud / Entrada</t>
  </si>
  <si>
    <t>Google Cloud / APIs</t>
  </si>
  <si>
    <t>Google Cloud / Runtime</t>
  </si>
  <si>
    <t>Google Cloud / Integración</t>
  </si>
  <si>
    <t>Google Cloud / Datos</t>
  </si>
  <si>
    <t>Google Cloud / Documentos</t>
  </si>
  <si>
    <t>Google Cloud / CDN</t>
  </si>
  <si>
    <t>Google Cloud / Seguridad</t>
  </si>
  <si>
    <t>Google Cloud / Observabilidad</t>
  </si>
  <si>
    <t>Google Cloud / Scheduler-Tasks</t>
  </si>
  <si>
    <t>Google Cloud / BigQuery</t>
  </si>
  <si>
    <t>Emprendedor</t>
  </si>
  <si>
    <t>RF-EMP-001</t>
  </si>
  <si>
    <t>RF-EMP-002</t>
  </si>
  <si>
    <t>RF-EMP-003</t>
  </si>
  <si>
    <t>Soporte / Garantías / Calidad</t>
  </si>
  <si>
    <t>RF-SGC-001</t>
  </si>
  <si>
    <t>RF-SGC-002</t>
  </si>
  <si>
    <t>RF-SGC-003</t>
  </si>
  <si>
    <t>RF-SGC-004</t>
  </si>
  <si>
    <t>RF-SGC-005</t>
  </si>
  <si>
    <t>RF-SGC-006</t>
  </si>
  <si>
    <t>RF-SGC-007</t>
  </si>
  <si>
    <t>RF-SGC-008</t>
  </si>
  <si>
    <t>RF-SGC-009</t>
  </si>
  <si>
    <t>RF-SGC-010</t>
  </si>
  <si>
    <t>RF-SGC-011</t>
  </si>
  <si>
    <t>RF-SGC-012</t>
  </si>
  <si>
    <t>RF-SGC-013</t>
  </si>
  <si>
    <t>RF-SGC-014</t>
  </si>
  <si>
    <t>RF-SGC-015</t>
  </si>
  <si>
    <t>RF-SGC-016</t>
  </si>
  <si>
    <t>RF-SGC-017</t>
  </si>
  <si>
    <t>RF-SGC-018</t>
  </si>
  <si>
    <t>RF-SGC-019</t>
  </si>
  <si>
    <t>RF-SGC-020</t>
  </si>
  <si>
    <t>RF-SGC-021</t>
  </si>
  <si>
    <t>RF-SGC-022</t>
  </si>
  <si>
    <t>RF-SGC-023</t>
  </si>
  <si>
    <t>RF-SGC-024</t>
  </si>
  <si>
    <t>RF-SGC-025</t>
  </si>
  <si>
    <t>RF-SGC-026</t>
  </si>
  <si>
    <t>Id. caso de uso</t>
  </si>
  <si>
    <t>Nombre del caso de uso</t>
  </si>
  <si>
    <t>Evolución vs v2.0</t>
  </si>
  <si>
    <t>Evidencia resumida del cambio / situación</t>
  </si>
  <si>
    <t>Permitir explorar y consultar la oferta de productos disponible.</t>
  </si>
  <si>
    <t>No — sin cambio sustantivo</t>
  </si>
  <si>
    <t>Se conserva la capacidad de la versión 2.0; las versiones posteriores mantienen su objetivo funcional.</t>
  </si>
  <si>
    <t>Permitir localizar productos mediante criterios de búsqueda.</t>
  </si>
  <si>
    <t>Permitir acotar productos según criterios disponibles.</t>
  </si>
  <si>
    <t>Permitir consultar información detallada del producto.</t>
  </si>
  <si>
    <t>Permitir conocer la disponibilidad vigente del producto.</t>
  </si>
  <si>
    <t>Permitir comparar productos seleccionados.</t>
  </si>
  <si>
    <t>Permitir administrar los productos seleccionados antes del checkout.</t>
  </si>
  <si>
    <t>Crear el pedido empresarial único a partir del checkout validado.</t>
  </si>
  <si>
    <t>Permitir al cliente consultar sus pedidos y estados.</t>
  </si>
  <si>
    <t>Procesar el pago asociado a un pedido válido mediante el proveedor autorizado.</t>
  </si>
  <si>
    <t>Sí — modificado</t>
  </si>
  <si>
    <t>Cambios en el tratamiento del pago y su correlación con OrderId/proveedor de pagos.</t>
  </si>
  <si>
    <t>Aplicar beneficios comerciales válidos a la operación.</t>
  </si>
  <si>
    <t>Generar y entregar notificaciones derivadas de eventos relevantes.</t>
  </si>
  <si>
    <t>Registrar un cliente E-Commerce con sus datos requeridos.</t>
  </si>
  <si>
    <t>Autenticar al cliente y establecer su contexto autorizado.</t>
  </si>
  <si>
    <t>Permitir al cliente administrar su información propia.</t>
  </si>
  <si>
    <t>Permitir consultar el estado de despacho del pedido.</t>
  </si>
  <si>
    <t>Permitir consultar el seguimiento del pedido.</t>
  </si>
  <si>
    <t>Permitir gestionar proveedores de forma controlada, trazable y conforme a las reglas del dominio.</t>
  </si>
  <si>
    <t>Permitir registrar solicitud de compra de forma controlada, trazable y conforme a las reglas del dominio.</t>
  </si>
  <si>
    <t>Permitir crear orden de compra de forma controlada, trazable y conforme a las reglas del dominio.</t>
  </si>
  <si>
    <t>Permitir aprobar orden de compra de forma controlada, trazable y conforme a las reglas del dominio.</t>
  </si>
  <si>
    <t>Permitir modificar orden de compra de forma controlada, trazable y conforme a las reglas del dominio.</t>
  </si>
  <si>
    <t>Permitir consultar orden de compra de forma controlada, trazable y conforme a las reglas del dominio.</t>
  </si>
  <si>
    <t>Permitir registrar recepción de mercancía de forma controlada, trazable y conforme a las reglas del dominio.</t>
  </si>
  <si>
    <t>Permitir ingresar mercancía recibida a inventario de forma controlada, trazable y conforme a las reglas del dominio.</t>
  </si>
  <si>
    <t>Permitir gestionar cuentas por pagar de compras de forma controlada, trazable y conforme a las reglas del dominio.</t>
  </si>
  <si>
    <t>Permitir registrar entrada de inventario de forma controlada, trazable y conforme a las reglas del dominio.</t>
  </si>
  <si>
    <t>Permitir registrar salida de inventario de forma controlada, trazable y conforme a las reglas del dominio.</t>
  </si>
  <si>
    <t>Permitir registrar ajuste de inventario de forma controlada, trazable y conforme a las reglas del dominio.</t>
  </si>
  <si>
    <t>Permitir transferir inventario entre bodegas de forma controlada, trazable y conforme a las reglas del dominio.</t>
  </si>
  <si>
    <t>Permitir gestionar bodegas de forma controlada, trazable y conforme a las reglas del dominio.</t>
  </si>
  <si>
    <t>Permitir consultar kardex de forma controlada, trazable y conforme a las reglas del dominio.</t>
  </si>
  <si>
    <t>Permitir configurar y consultar stock mínimo de forma controlada, trazable y conforme a las reglas del dominio.</t>
  </si>
  <si>
    <t>Permitir calcular y consultar stock disponible de forma controlada, trazable y conforme a las reglas del dominio.</t>
  </si>
  <si>
    <t>Permitir gestionar stock reservado por pedidos de forma controlada, trazable y conforme a las reglas del dominio.</t>
  </si>
  <si>
    <t>Permitir mantener inventario como fuente única de verdad de forma controlada, trazable y conforme a las reglas del dominio.</t>
  </si>
  <si>
    <t>Permitir gestionar empleados de forma controlada, trazable y conforme a las reglas del dominio.</t>
  </si>
  <si>
    <t>Permitir gestionar cargos de forma controlada, trazable y conforme a las reglas del dominio.</t>
  </si>
  <si>
    <t>Permitir gestionar contratos de forma controlada, trazable y conforme a las reglas del dominio.</t>
  </si>
  <si>
    <t>Permitir gestionar horarios de forma controlada, trazable y conforme a las reglas del dominio.</t>
  </si>
  <si>
    <t>Permitir registrar ausencias de forma controlada, trazable y conforme a las reglas del dominio.</t>
  </si>
  <si>
    <t>Permitir registrar novedades de forma controlada, trazable y conforme a las reglas del dominio.</t>
  </si>
  <si>
    <t>Permitir gestionar proceso de nómina de forma controlada, trazable y conforme a las reglas del dominio.</t>
  </si>
  <si>
    <t>Permitir gestionar vendedores de forma controlada, trazable y conforme a las reglas del dominio.</t>
  </si>
  <si>
    <t>Permitir gestionar gerentes de zona de forma controlada, trazable y conforme a las reglas del dominio.</t>
  </si>
  <si>
    <t>Permitir gestionar zonas comerciales de forma controlada, trazable y conforme a las reglas del dominio.</t>
  </si>
  <si>
    <t>Permitir gestionar clientes del ámbito erp de forma controlada, trazable y conforme a las reglas del dominio.</t>
  </si>
  <si>
    <t>Permitir gestionar metas comerciales de forma controlada, trazable y conforme a las reglas del dominio.</t>
  </si>
  <si>
    <t>Permitir gestionar comisiones de forma controlada, trazable y conforme a las reglas del dominio.</t>
  </si>
  <si>
    <t>Permitir consultar y gestionar ventas de forma controlada, trazable y conforme a las reglas del dominio.</t>
  </si>
  <si>
    <t>Permitir gestionar transportistas de forma controlada, trazable y conforme a las reglas del dominio.</t>
  </si>
  <si>
    <t>Permitir gestionar vehículos de forma controlada, trazable y conforme a las reglas del dominio.</t>
  </si>
  <si>
    <t>Permitir gestionar despachos de forma controlada, trazable y conforme a las reglas del dominio.</t>
  </si>
  <si>
    <t>Actualización por integración de SLA, estados y responsabilidad logística.</t>
  </si>
  <si>
    <t>Permitir registrar y consultar guías de forma controlada, trazable y conforme a las reglas del dominio.</t>
  </si>
  <si>
    <t>Actualización por trazabilidad de guías y estados logísticos.</t>
  </si>
  <si>
    <t>Permitir gestionar rutas de forma controlada, trazable y conforme a las reglas del dominio.</t>
  </si>
  <si>
    <t>Actualización por gestión de rutas y controles operativos.</t>
  </si>
  <si>
    <t>Controlar los estados y transiciones válidas del caso.</t>
  </si>
  <si>
    <t>Actualización por estados de entrega, SLA y trazabilidad.</t>
  </si>
  <si>
    <t>Permitir gestionar facturas de forma controlada, trazable y conforme a las reglas del dominio.</t>
  </si>
  <si>
    <t>Actualización por integración fiscal y liquidación.</t>
  </si>
  <si>
    <t>Permitir gestionar notas crédito y débito de forma controlada, trazable y conforme a las reglas del dominio.</t>
  </si>
  <si>
    <t>Actualización por notas y responsabilidades fiscales.</t>
  </si>
  <si>
    <t>Actualización por estados fiscales y trazabilidad.</t>
  </si>
  <si>
    <t>Permitir gestionar impuestos de facturación de forma controlada, trazable y conforme a las reglas del dominio.</t>
  </si>
  <si>
    <t>Actualización por impuestos y validaciones fiscales.</t>
  </si>
  <si>
    <t>Permitir gestionar cuentas contables de forma controlada, trazable y conforme a las reglas del dominio.</t>
  </si>
  <si>
    <t>Permitir registrar movimientos contables de forma controlada, trazable y conforme a las reglas del dominio.</t>
  </si>
  <si>
    <t>Actualización por liquidación y conciliación por EmprendedorId.</t>
  </si>
  <si>
    <t>Permitir gestionar comprobantes de forma controlada, trazable y conforme a las reglas del dominio.</t>
  </si>
  <si>
    <t>Actualización por trazabilidad de comprobantes.</t>
  </si>
  <si>
    <t>Permitir gestionar cartera de forma controlada, trazable y conforme a las reglas del dominio.</t>
  </si>
  <si>
    <t>Actualización por cartera y segregación de información.</t>
  </si>
  <si>
    <t>Permitir realizar conciliación de forma controlada, trazable y conforme a las reglas del dominio.</t>
  </si>
  <si>
    <t>Actualización por conciliación de liquidación y dispersión.</t>
  </si>
  <si>
    <t>Permitir generar estados financieros de forma controlada, trazable y conforme a las reglas del dominio.</t>
  </si>
  <si>
    <t>Consultar indicadores y dashboard de calidad según ámbito.</t>
  </si>
  <si>
    <t>Permitir consultar indicadores de ventas de forma controlada, trazable y conforme a las reglas del dominio.</t>
  </si>
  <si>
    <t>Permitir consultar rentabilidad de forma controlada, trazable y conforme a las reglas del dominio.</t>
  </si>
  <si>
    <t>Permitir consultar indicadores de inventario de forma controlada, trazable y conforme a las reglas del dominio.</t>
  </si>
  <si>
    <t>Permitir consultar indicadores de compras de forma controlada, trazable y conforme a las reglas del dominio.</t>
  </si>
  <si>
    <t>Permitir consultar indicadores de cartera de forma controlada, trazable y conforme a las reglas del dominio.</t>
  </si>
  <si>
    <t>Permitir consultar indicadores logísticos de forma controlada, trazable y conforme a las reglas del dominio.</t>
  </si>
  <si>
    <t>Permitir consultar indicadores de nómina de forma controlada, trazable y conforme a las reglas del dominio.</t>
  </si>
  <si>
    <t>Permitir consultar indicadores comerciales de forma controlada, trazable y conforme a las reglas del dominio.</t>
  </si>
  <si>
    <t>Permitir administrar roles y perfiles de forma controlada, trazable y conforme a las reglas del dominio.</t>
  </si>
  <si>
    <t>Actualización transversal por RBAC/ABAC, mínimo privilegio, aislamiento y auditoría.</t>
  </si>
  <si>
    <t>Permitir asignar rol a usuario de forma controlada, trazable y conforme a las reglas del dominio.</t>
  </si>
  <si>
    <t>Permitir configurar alcance por zona de forma controlada, trazable y conforme a las reglas del dominio.</t>
  </si>
  <si>
    <t>Permitir configurar alcance por vendedor de forma controlada, trazable y conforme a las reglas del dominio.</t>
  </si>
  <si>
    <t>Permitir consultar matriz de roles y alcance de forma controlada, trazable y conforme a las reglas del dominio.</t>
  </si>
  <si>
    <t>Permitir aplicar política de acceso a módulo de forma controlada, trazable y conforme a las reglas del dominio.</t>
  </si>
  <si>
    <t>Permitir restringir datos por zona y vendedor de forma controlada, trazable y conforme a las reglas del dominio.</t>
  </si>
  <si>
    <t>Permitir consultar auditoría de operaciones de forma controlada, trazable y conforme a las reglas del dominio.</t>
  </si>
  <si>
    <t>Permitir autenticar usuarios internos de forma controlada, trazable y conforme a las reglas del dominio.</t>
  </si>
  <si>
    <t>Permitir validar autorización de api protegida de forma controlada, trazable y conforme a las reglas del dominio.</t>
  </si>
  <si>
    <t>Permitir gestionar secretos mediante secret manager de forma controlada, trazable y conforme a las reglas del dominio.</t>
  </si>
  <si>
    <t>Aplicar autorización y aislamiento de datos por EmprendedorId.</t>
  </si>
  <si>
    <t>Permitir registrar quién, qué, cuándo y resultado de forma controlada, trazable y conforme a las reglas del dominio.</t>
  </si>
  <si>
    <t>Permitir mantener trazabilidad de operación crítica de forma controlada, trazable y conforme a las reglas del dominio.</t>
  </si>
  <si>
    <t>Permitir gestionar código y configuración en git de forma controlada, trazable y conforme a las reglas del dominio.</t>
  </si>
  <si>
    <t>Permitir gestionar ramas y pull requests con revisión de forma controlada, trazable y conforme a las reglas del dominio.</t>
  </si>
  <si>
    <t>Permitir ejecutar ci con build, pruebas y validaciones de forma controlada, trazable y conforme a las reglas del dominio.</t>
  </si>
  <si>
    <t>Permitir ejecutar controles de calidad y seguridad de forma controlada, trazable y conforme a las reglas del dominio.</t>
  </si>
  <si>
    <t>Permitir ejecutar pruebas automatizadas de forma controlada, trazable y conforme a las reglas del dominio.</t>
  </si>
  <si>
    <t>Permitir desplegar artefactos aprobados de forma controlada, trazable y conforme a las reglas del dominio.</t>
  </si>
  <si>
    <t>Permitir gestionar configuración por ambiente de forma controlada, trazable y conforme a las reglas del dominio.</t>
  </si>
  <si>
    <t>Permitir ejecutar rollback de despliegue de forma controlada, trazable y conforme a las reglas del dominio.</t>
  </si>
  <si>
    <t>Permitir provisionar infraestructura reproducible mediante iac de forma controlada, trazable y conforme a las reglas del dominio.</t>
  </si>
  <si>
    <t>Actualización para IaC, reproducibilidad, HA/DR y gobierno de infraestructura.</t>
  </si>
  <si>
    <t>Permitir mantener trazabilidad de despliegues de forma controlada, trazable y conforme a las reglas del dominio.</t>
  </si>
  <si>
    <t>Permitir centralizar logs, métricas y alertas de forma controlada, trazable y conforme a las reglas del dominio.</t>
  </si>
  <si>
    <t>Actualización para observabilidad, HA y correlación.</t>
  </si>
  <si>
    <t>Permitir correlacionar errores y operaciones críticas de forma controlada, trazable y conforme a las reglas del dominio.</t>
  </si>
  <si>
    <t>Actualización para correlación y trazabilidad de errores/operaciones críticas.</t>
  </si>
  <si>
    <t>Permitir separar analítica de operación transaccional de forma controlada, trazable y conforme a las reglas del dominio.</t>
  </si>
  <si>
    <t>Permitir construir históricos y analítica en bigquery cuando se justifique de forma controlada, trazable y conforme a las reglas del dominio.</t>
  </si>
  <si>
    <t>Permitir coordinar pedido empresarial único de forma controlada, trazable y conforme a las reglas del dominio.</t>
  </si>
  <si>
    <t>Permitir ejecutar sincronización síncrona mediante rest/json de forma controlada, trazable y conforme a las reglas del dominio.</t>
  </si>
  <si>
    <t>Permitir ejecutar sincronización asíncrona mediante pub/sub de forma controlada, trazable y conforme a las reglas del dominio.</t>
  </si>
  <si>
    <t>Permitir evitar acceso directo entre e-commerce y erp de forma controlada, trazable y conforme a las reglas del dominio.</t>
  </si>
  <si>
    <t>Permitir mantener separación entre transacciones y bi de forma controlada, trazable y conforme a las reglas del dominio.</t>
  </si>
  <si>
    <t>Permitir evolucionar módulo a microservicio cuando exista justificación de forma controlada, trazable y conforme a las reglas del dominio.</t>
  </si>
  <si>
    <t>Permitir publicar evento ordercreated de forma controlada, trazable y conforme a las reglas del dominio.</t>
  </si>
  <si>
    <t>Permitir publicar evento orderpaid de forma controlada, trazable y conforme a las reglas del dominio.</t>
  </si>
  <si>
    <t>Permitir publicar evento inventoryupdated de forma controlada, trazable y conforme a las reglas del dominio.</t>
  </si>
  <si>
    <t>Permitir publicar evento invoicegenerated de forma controlada, trazable y conforme a las reglas del dominio.</t>
  </si>
  <si>
    <t>Permitir publicar evento orderdispatched de forma controlada, trazable y conforme a las reglas del dominio.</t>
  </si>
  <si>
    <t>Permitir publicar evento shipmentcreated de forma controlada, trazable y conforme a las reglas del dominio.</t>
  </si>
  <si>
    <t>Permitir publicar evento orderdelivered de forma controlada, trazable y conforme a las reglas del dominio.</t>
  </si>
  <si>
    <t>Permitir publicar evento employeecreated de forma controlada, trazable y conforme a las reglas del dominio.</t>
  </si>
  <si>
    <t>Permitir publicar evento purchasereceived de forma controlada, trazable y conforme a las reglas del dominio.</t>
  </si>
  <si>
    <t>Permitir versionar y documentar contratos de api de forma controlada, trazable y conforme a las reglas del dominio.</t>
  </si>
  <si>
    <t>Actualización transversal por contratos versionados, idempotencia, retries y correlación.</t>
  </si>
  <si>
    <t>Permitir garantizar idempotencia de consumidores de eventos de forma controlada, trazable y conforme a las reglas del dominio.</t>
  </si>
  <si>
    <t>Permitir gestionar reintentos y fallos de eventos de forma controlada, trazable y conforme a las reglas del dominio.</t>
  </si>
  <si>
    <t>Permitir versionar contratos de eventos de forma controlada, trazable y conforme a las reglas del dominio.</t>
  </si>
  <si>
    <t>Permitir gestionar correlación de operaciones distribuidas de forma controlada, trazable y conforme a las reglas del dominio.</t>
  </si>
  <si>
    <t>Permitir exponer entrada pública mediante cloud load balancing cuando aplique de forma controlada, trazable y conforme a las reglas del dominio.</t>
  </si>
  <si>
    <t>Actualización transversal por baseline Google Cloud, HA/DR, seguridad y operación.</t>
  </si>
  <si>
    <t>Permitir exponer apis mediante api gateway de forma controlada, trazable y conforme a las reglas del dominio.</t>
  </si>
  <si>
    <t>Permitir ejecutar servicios en cloud run de forma controlada, trazable y conforme a las reglas del dominio.</t>
  </si>
  <si>
    <t>Permitir transportar eventos mediante pub/sub de forma controlada, trazable y conforme a las reglas del dominio.</t>
  </si>
  <si>
    <t>Permitir persistir transacciones en cloud sql postgresql de forma controlada, trazable y conforme a las reglas del dominio.</t>
  </si>
  <si>
    <t>Permitir almacenar imágenes y documentos en cloud storage de forma controlada, trazable y conforme a las reglas del dominio.</t>
  </si>
  <si>
    <t>Permitir distribuir contenido estático mediante cloud cdn cuando aplique de forma controlada, trazable y conforme a las reglas del dominio.</t>
  </si>
  <si>
    <t>Permitir gestionar secretos en secret manager de forma controlada, trazable y conforme a las reglas del dominio.</t>
  </si>
  <si>
    <t>Permitir centralizar observabilidad con logging y monitoring de forma controlada, trazable y conforme a las reglas del dominio.</t>
  </si>
  <si>
    <t>Permitir ejecutar procesos programados y asíncronos de forma controlada, trazable y conforme a las reglas del dominio.</t>
  </si>
  <si>
    <t>Permitir construir analítica en bigquery cuando se justifique de forma controlada, trazable y conforme a las reglas del dominio.</t>
  </si>
  <si>
    <t>Permitir gestionar publicaciones de emprendedor aliado de forma controlada, trazable y conforme a las reglas del dominio.</t>
  </si>
  <si>
    <t>Sí — cambio de tratamiento</t>
  </si>
  <si>
    <t>Cambio de tratamiento: pasa de pendiente a histórico/absorbido por el ciclo de producto del Emprendedor.</t>
  </si>
  <si>
    <t>Trazabilidad UI histórica</t>
  </si>
  <si>
    <t>Permitir gestionar catálogo propio de emprendedor de forma controlada, trazable y conforme a las reglas del dominio.</t>
  </si>
  <si>
    <t>Cambio de tratamiento: pasa de pendiente a histórico/absorbido por catálogo y ciclo de aval del Emprendedor.</t>
  </si>
  <si>
    <t>Permitir gestionar despachos directos de emprendedor de forma controlada, trazable y conforme a las reglas del dominio.</t>
  </si>
  <si>
    <t>Cambio de tratamiento: pasa de pendiente a histórico/integrado; la propiedad logística permanece en Logística.</t>
  </si>
  <si>
    <t>Permitir consultar liquidaciones de emprendedor de forma controlada, trazable y conforme a las reglas del dominio.</t>
  </si>
  <si>
    <t>Cambio de tratamiento: pasa de pendiente a histórico/integrado; la consulta se cubre con reportes, dispersión y conciliación.</t>
  </si>
  <si>
    <t>Registrar y encaminar el enrolamiento de un emprendedor mediante un Gerente de Zona autorizado.</t>
  </si>
  <si>
    <t>No existía en la versión 2.0; incorporado formalmente en versiones posteriores y consolidado en v5.0.</t>
  </si>
  <si>
    <t>Administrar los datos base y el ciclo de vida del emprendedor.</t>
  </si>
  <si>
    <t>Gestionar el paquete documental requerido para validar al emprendedor.</t>
  </si>
  <si>
    <t>Validar el cumplimiento de requisitos y activar al emprendedor cuando corresponda.</t>
  </si>
  <si>
    <t>Configurar el medio de envío aplicable al emprendedor.</t>
  </si>
  <si>
    <t>Configurar el medio de pago electrónico autorizado para la dispersión.</t>
  </si>
  <si>
    <t>Crear un producto identificándolo como perteneciente al emprendedor.</t>
  </si>
  <si>
    <t>Consultar y gestionar el catálogo propio por estado.</t>
  </si>
  <si>
    <t>Validar que el contenido multimedia cumpla los requisitos definidos.</t>
  </si>
  <si>
    <t>Enviar un producto conforme al proceso de aval.</t>
  </si>
  <si>
    <t>Registrar la decisión de aval, rechazo o solicitud de ajustes.</t>
  </si>
  <si>
    <t>Controlar la disponibilidad comercial del producto avalado.</t>
  </si>
  <si>
    <t>Gestionar ofertas temporales de oportunidad única o relámpago.</t>
  </si>
  <si>
    <t>Consultar y descargar información reportable del emprendedor.</t>
  </si>
  <si>
    <t>Confirmar la entrega física requerida para habilitar la dispersión.</t>
  </si>
  <si>
    <t>Autorizar la dispersión al emprendedor cuando se cumplan las condiciones.</t>
  </si>
  <si>
    <t>Ejecutar y consultar el resultado de la dispersión autorizada.</t>
  </si>
  <si>
    <t>Gestionar la comisión asociada a productos vendidos del emprendedor.</t>
  </si>
  <si>
    <t>Registrar la integración del servicio logístico suministrado por CuchosTool.</t>
  </si>
  <si>
    <t>Permitir acceder al Centro de Ayuda y mecanismos de orientación.</t>
  </si>
  <si>
    <t>Registrar una solicitud como Caso/Ticket único y trazable.</t>
  </si>
  <si>
    <t>Crear un caso contextualizado a partir de un pedido, detalle o producto adquirido.</t>
  </si>
  <si>
    <t>Permitir consultar solicitudes, garantías y estado de casos propios.</t>
  </si>
  <si>
    <t>Permitir aportar información y responder solicitudes manteniendo trazabilidad.</t>
  </si>
  <si>
    <t>Gestionar evidencias seguras asociadas al caso.</t>
  </si>
  <si>
    <t>Asignar el caso al responsable autorizado.</t>
  </si>
  <si>
    <t>Determinar y actualizar la prioridad del caso.</t>
  </si>
  <si>
    <t>Escalar el caso al responsable o tercero correspondiente.</t>
  </si>
  <si>
    <t>Controlar SLA y tiempos de atención del caso.</t>
  </si>
  <si>
    <t>Atender solicitudes, incidentes, quejas, reclamos y peticiones.</t>
  </si>
  <si>
    <t>Registrar una solicitud de garantía.</t>
  </si>
  <si>
    <t>Evaluar evidencias y decidir la procedencia de la garantía.</t>
  </si>
  <si>
    <t>Solicitar devolución, cambio, recogida o reemplazo conforme al caso.</t>
  </si>
  <si>
    <t>Solicitar al módulo de pagos un reembolso o reversión.</t>
  </si>
  <si>
    <t>Gestionar el cierre, reapertura o cancelación del caso.</t>
  </si>
  <si>
    <t>Enviar una encuesta de satisfacción asociada a la atención.</t>
  </si>
  <si>
    <t>Registrar la calificación del servicio recibido.</t>
  </si>
  <si>
    <t>Detectar patrones e incidentes relevantes de calidad.</t>
  </si>
  <si>
    <t>Generar alertas de calidad cuando se cumplan umbrales.</t>
  </si>
  <si>
    <t>Gestionar acciones correctivas derivadas de hallazgos de calidad.</t>
  </si>
  <si>
    <t>Permitir al emprendedor consultar casos relacionados con productos propios.</t>
  </si>
  <si>
    <t>Gestionar la participación del Gerente de Zona en casos.</t>
  </si>
  <si>
    <t>Gestionar la bandeja operativa del equipo de soporte.</t>
  </si>
  <si>
    <t>Nombre Caso de uso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</si>
</sst>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8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00B0F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wrapText="1"/>
    </xf>
    <xf numFmtId="0" fontId="1" fillId="0" borderId="0" xfId="0" applyFont="1"/>
    <xf numFmtId="49" fontId="2" fillId="0" borderId="0" xfId="0" applyNumberFormat="1" applyFont="1" applyAlignment="1">
      <alignment horizontal="left"/>
    </xf>
    <xf numFmtId="49" fontId="0" fillId="0" borderId="0" xfId="0" applyNumberFormat="1" applyAlignment="1">
      <alignment vertical="center"/>
    </xf>
    <xf numFmtId="0" fontId="0" fillId="0" borderId="0" xfId="0" applyAlignment="1">
      <alignment vertical="center"/>
    </xf>
    <xf numFmtId="0" fontId="0" fillId="2" borderId="0" xfId="0" applyFill="1" applyAlignment="1">
      <alignment vertical="center"/>
    </xf>
    <xf numFmtId="0" fontId="0" fillId="3" borderId="0" xfId="0" applyFill="1" applyAlignment="1">
      <alignment vertical="center"/>
    </xf>
  </cellXfs>
  <cellStyles count="1">
    <cellStyle name="Normal" xfId="0" builtinId="0"/>
  </cellStyles>
  <dxfs count="12">
    <dxf>
      <alignment horizontal="general" vertical="center" textRotation="0" wrapText="0" indent="0" justifyLastLine="0" shrinkToFit="0" readingOrder="0"/>
    </dxf>
    <dxf>
      <alignment horizontal="general" vertical="center" textRotation="0" wrapText="0" indent="0" justifyLastLine="0" shrinkToFit="0" readingOrder="0"/>
    </dxf>
    <dxf>
      <alignment horizontal="general" vertical="center" textRotation="0" wrapText="0" indent="0" justifyLastLine="0" shrinkToFit="0" readingOrder="0"/>
    </dxf>
    <dxf>
      <alignment horizontal="general" vertical="center" textRotation="0" wrapText="0" indent="0" justifyLastLine="0" shrinkToFit="0" readingOrder="0"/>
    </dxf>
    <dxf>
      <alignment horizontal="general" vertical="center" textRotation="0" wrapText="0" indent="0" justifyLastLine="0" shrinkToFit="0" readingOrder="0"/>
    </dxf>
    <dxf>
      <alignment horizontal="general" vertical="center" textRotation="0" wrapText="0" indent="0" justifyLastLine="0" shrinkToFit="0" readingOrder="0"/>
    </dxf>
    <dxf>
      <alignment horizontal="general" vertical="center" textRotation="0" wrapText="0" indent="0" justifyLastLine="0" shrinkToFit="0" readingOrder="0"/>
    </dxf>
    <dxf>
      <alignment horizontal="general" vertical="center" textRotation="0" wrapText="0" indent="0" justifyLastLine="0" shrinkToFit="0" readingOrder="0"/>
    </dxf>
    <dxf>
      <alignment horizontal="general" vertical="center" textRotation="0" wrapText="0" indent="0" justifyLastLine="0" shrinkToFit="0" readingOrder="0"/>
    </dxf>
    <dxf>
      <numFmt numFmtId="30" formatCode="@"/>
      <alignment horizontal="general" vertical="center" textRotation="0" wrapText="0" indent="0" justifyLastLine="0" shrinkToFit="0" readingOrder="0"/>
    </dxf>
    <dxf>
      <alignment horizontal="general" vertical="center" textRotation="0" wrapText="0" indent="0" justifyLastLine="0" shrinkToFit="0" readingOrder="0"/>
    </dxf>
    <dxf>
      <alignment horizontal="general" vertical="center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173AA69C-D547-49CD-85D7-9ADFD6E71567}" name="Tabla3" displayName="Tabla3" ref="A1:J183" totalsRowShown="0" headerRowDxfId="11" dataDxfId="10">
  <autoFilter ref="A1:J183" xr:uid="{173AA69C-D547-49CD-85D7-9ADFD6E71567}"/>
  <tableColumns count="10">
    <tableColumn id="1" xr3:uid="{E9CAE6E7-8BD7-4B3A-8058-CFBE55EC0EE0}" name="No. " dataDxfId="9"/>
    <tableColumn id="2" xr3:uid="{0AD616FF-95A5-428B-91CA-35A2699B5431}" name="Módulo" dataDxfId="8"/>
    <tableColumn id="3" xr3:uid="{F92CF530-ACA6-4BBE-8000-E8EACF9AAE4B}" name="ID" dataDxfId="7"/>
    <tableColumn id="4" xr3:uid="{A657A2B3-A72E-4A0F-89AC-96349946D7F2}" name="Nombre Caso de uso" dataDxfId="6"/>
    <tableColumn id="5" xr3:uid="{02337B19-CB9A-4374-B7FF-1B39873B8140}" name="Objetivo resumido" dataDxfId="5"/>
    <tableColumn id="6" xr3:uid="{E9AB8498-273F-4F6F-B69C-8D1F3F744492}" name="Actor principal" dataDxfId="4"/>
    <tableColumn id="7" xr3:uid="{B3C4C32E-6FD1-4143-A676-510755858282}" name="Prioridad" dataDxfId="3"/>
    <tableColumn id="8" xr3:uid="{3C8DA2C7-CF70-491A-B069-0915D229E398}" name="Complejidad" dataDxfId="2"/>
    <tableColumn id="9" xr3:uid="{AA3B6845-CE0F-4A8C-9EF2-FD48152EC6CD}" name="RF relacionados" dataDxfId="1"/>
    <tableColumn id="10" xr3:uid="{A33C9E7F-DB6D-44A5-BEAF-E8BB62E7062C}" name="Cambio / _x000a_Observación" dataDxfId="0"/>
  </tableColumns>
  <tableStyleInfo name="TableStyleLight1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5B455B76-5B91-4BC2-8B68-94CC78514866}" name="Tabla2" displayName="Tabla2" ref="A1:F187" totalsRowShown="0">
  <autoFilter ref="A1:F187" xr:uid="{5B455B76-5B91-4BC2-8B68-94CC78514866}"/>
  <tableColumns count="6">
    <tableColumn id="1" xr3:uid="{B1A888BA-03C1-4D70-92EE-3C49ECD88D43}" name="Id. caso de uso"/>
    <tableColumn id="2" xr3:uid="{35C9AE3A-0AE1-4D45-AC6D-113EB8B8490E}" name="Nombre del caso de uso"/>
    <tableColumn id="3" xr3:uid="{70F6837E-7F22-4175-872A-A57AE86AE796}" name="Objetivo resumido"/>
    <tableColumn id="4" xr3:uid="{477E94E3-CB1A-4F3E-96FF-57010CEE2D41}" name="Evolución vs v2.0"/>
    <tableColumn id="5" xr3:uid="{E0E37DFC-1C00-4A5D-B8C2-B8EE6779F2D2}" name="Evidencia resumida del cambio / situación"/>
    <tableColumn id="6" xr3:uid="{32EC0AD4-9CFA-459A-9A59-FF27B9C1B2A2}" name="Módulo"/>
  </tableColumns>
  <tableStyleInfo name="TableStyleLight16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21A1BB-9934-4586-B20B-92AA5BA32906}">
  <dimension ref="A1:B4"/>
  <sheetViews>
    <sheetView workbookViewId="0">
      <selection activeCell="A4" sqref="A4"/>
    </sheetView>
  </sheetViews>
  <sheetFormatPr baseColWidth="10" defaultRowHeight="15" x14ac:dyDescent="0.25"/>
  <cols>
    <col min="1" max="1" width="85.42578125" customWidth="1"/>
    <col min="2" max="2" width="38.7109375" bestFit="1" customWidth="1"/>
  </cols>
  <sheetData>
    <row r="1" spans="1:2" ht="24" x14ac:dyDescent="0.4">
      <c r="A1" s="3" t="s">
        <v>454</v>
      </c>
      <c r="B1" s="2" t="str">
        <f>VLOOKUP(A1,CasoUso!A$1:L$183,12,FALSE)</f>
        <v>CU-EC-008_Crear pedido desde checkout</v>
      </c>
    </row>
    <row r="4" spans="1:2" ht="409.5" customHeight="1" x14ac:dyDescent="0.25">
      <c r="A4" s="1" t="str">
        <f>_xlfn._LONGTEXT("Teniendo como base las fuentes del proyecto:
“02_Catalogo_Maestro_Casos_Uso_CuchosTool_v5”
“03_SRS_CuchosTool_IEEE830_DevOps_GoogleCloud_v5”
“04_Arquitectura_Oficial_CuchosTool_v6”
“05_Backlog_CuchosTool_v5”
“06_CuchosTool_Catalogo_Reglas_Negocio_v1”
Tu t","area es Genera la ficha técnica oficial del caso de uso ")&amp;B1&amp;_xlfn._LONGTEXT(", para el proyecto CuchosTool.com en un único archivo HTML5 con soporte de exportación a PNG (1600x1200 px, relación 4:3) usando html2canvas.
unificando e integrando todos los cambios en esta única versión, listo para diseño, implementación y pruebas, En ","el contexto de nuestro proyecto CuchosTool
Asegúrate de incluir exactamente los siguientes 11 bloques estructurados:
1. INFORMACIÓN GENERAL (ID, Nombre, Objetivo, Actores, Tipo, Prioridad, Estado, Alcance, Disparador, Pre/Postcondiciones, Resultado exito","so).
2. DIAGRAMA DE CASOS DE USO (UML en SVG integrado).
3. DESCRIPCIÓN (Propósito, alcance público/autenticado y frontera ERP).
4. REGLAS DE NEGOCIO APLICABLES (RN-XX, validaciones, latencias).
5. FLUJO PRINCIPAL (Paso a paso numerado del camino feliz).
","6. DIAGRAMA DE SECUENCIA (UML en SVG con lifelines: Front/BFF, Services, BD/PubSub, Base de datos, etc.).
7. DIAGRAMA DE ACTIVIDADES (UML en SVG con inicio, nodos, decisión y fin).
8. FLUJOS ALTERNATIVOS / EXCEPCIONES (Tabla con FA-XX, situación y comport","amiento).
9. DATOS UTILIZADOS (Entidades, atributos y reglas de visibilidad).
10. CRITERIOS DE ACEPTACIÓN (Checklist de Definition of Done).
11. INTEGRACIONES PRINCIPALES (Tabla de servicios, protocolos y propósitos).
+ Pie de página con nota transversal ","de seguridad y autenticación.
Datos del caso de uso a documentar:
- Proyecto: CuchosTool / CuchosTool.com | Módulo: [MÓDULO / DOMINIO]
- Actor principal: [ACTOR] | Acceso: [Público / Autenticado]
- Requisitos SRS asociados: [RF-XX / RNF-XX]Con la mejor c","alidad posible, legible, usando la relación de aspecto 4:3, genera el caso de uso: ")&amp;B1</f>
        <v>Teniendo como base las fuentes del proyecto:
“02_Catalogo_Maestro_Casos_Uso_CuchosTool_v5”
“03_SRS_CuchosTool_IEEE830_DevOps_GoogleCloud_v5”
“04_Arquitectura_Oficial_CuchosTool_v6”
“05_Backlog_CuchosTool_v5”
“06_CuchosTool_Catalogo_Reglas_Negocio_v1”
Tu tarea es Genera la ficha técnica oficial del caso de uso CU-EC-008_Crear pedido desde checkout, para el proyecto CuchosTool.com en un único archivo HTML5 con soporte de exportación a PNG (1600x1200 px, relación 4:3) usando html2canvas.
unificando e integrando todos los cambios en esta única versión, listo para diseño, implementación y pruebas, En el contexto de nuestro proyecto CuchosTool
Asegúrate de incluir exactamente los siguientes 11 bloques estructurados:
1. INFORMACIÓN GENERAL (ID, Nombre, Objetivo, Actores, Tipo, Prioridad, Estado, Alcance, Disparador, Pre/Postcondiciones, Resultado exitoso).
2. DIAGRAMA DE CASOS DE USO (UML en SVG integrado).
3. DESCRIPCIÓN (Propósito, alcance público/autenticado y frontera ERP).
4. REGLAS DE NEGOCIO APLICABLES (RN-XX, validaciones, latencias).
5. FLUJO PRINCIPAL (Paso a paso numerado del camino feliz).
6. DIAGRAMA DE SECUENCIA (UML en SVG con lifelines: Front/BFF, Services, BD/PubSub, Base de datos, etc.).
7. DIAGRAMA DE ACTIVIDADES (UML en SVG con inicio, nodos, decisión y fin).
8. FLUJOS ALTERNATIVOS / EXCEPCIONES (Tabla con FA-XX, situación y comportamiento).
9. DATOS UTILIZADOS (Entidades, atributos y reglas de visibilidad).
10. CRITERIOS DE ACEPTACIÓN (Checklist de Definition of Done).
11. INTEGRACIONES PRINCIPALES (Tabla de servicios, protocolos y propósitos).
+ Pie de página con nota transversal de seguridad y autenticación.
Datos del caso de uso a documentar:
- Proyecto: CuchosTool / CuchosTool.com | Módulo: [MÓDULO / DOMINIO]
- Actor principal: [ACTOR] | Acceso: [Público / Autenticado]
- Requisitos SRS asociados: [RF-XX / RNF-XX]Con la mejor calidad posible, legible, usando la relación de aspecto 4:3, genera el caso de uso: CU-EC-008_Crear pedido desde checkout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BF7CDD-D18A-494A-A132-BE458A03D333}">
  <dimension ref="A1:L183"/>
  <sheetViews>
    <sheetView tabSelected="1" topLeftCell="A16" workbookViewId="0">
      <selection activeCell="J24" sqref="J24"/>
    </sheetView>
  </sheetViews>
  <sheetFormatPr baseColWidth="10" defaultRowHeight="15" x14ac:dyDescent="0.25"/>
  <cols>
    <col min="1" max="1" width="6.85546875" style="5" bestFit="1" customWidth="1"/>
    <col min="2" max="2" width="19" style="5" customWidth="1"/>
    <col min="3" max="3" width="12.5703125" style="5" bestFit="1" customWidth="1"/>
    <col min="4" max="4" width="17.5703125" style="5" customWidth="1"/>
    <col min="5" max="5" width="25.7109375" style="5" customWidth="1"/>
    <col min="6" max="6" width="29.85546875" style="5" customWidth="1"/>
    <col min="7" max="7" width="11.42578125" style="5" customWidth="1"/>
    <col min="8" max="8" width="14.42578125" style="5" customWidth="1"/>
    <col min="9" max="9" width="28.42578125" style="5" bestFit="1" customWidth="1"/>
    <col min="10" max="10" width="25.85546875" style="5" bestFit="1" customWidth="1"/>
    <col min="11" max="11" width="7.42578125" style="5" customWidth="1"/>
    <col min="12" max="12" width="53.5703125" style="5" customWidth="1"/>
    <col min="13" max="16384" width="11.42578125" style="5"/>
  </cols>
  <sheetData>
    <row r="1" spans="1:12" x14ac:dyDescent="0.25">
      <c r="A1" s="5" t="s">
        <v>446</v>
      </c>
      <c r="B1" s="5" t="s">
        <v>776</v>
      </c>
      <c r="C1" s="5" t="s">
        <v>0</v>
      </c>
      <c r="D1" s="5" t="s">
        <v>1078</v>
      </c>
      <c r="E1" s="5" t="s">
        <v>588</v>
      </c>
      <c r="F1" s="5" t="s">
        <v>774</v>
      </c>
      <c r="G1" s="5" t="s">
        <v>1</v>
      </c>
      <c r="H1" s="5" t="s">
        <v>775</v>
      </c>
      <c r="I1" s="5" t="s">
        <v>777</v>
      </c>
      <c r="J1" s="5" t="s">
        <v>748</v>
      </c>
    </row>
    <row r="2" spans="1:12" x14ac:dyDescent="0.25">
      <c r="A2" s="4" t="s">
        <v>447</v>
      </c>
      <c r="B2" s="5" t="s">
        <v>779</v>
      </c>
      <c r="C2" s="5" t="s">
        <v>2</v>
      </c>
      <c r="D2" s="5" t="s">
        <v>3</v>
      </c>
      <c r="E2" s="5" t="s">
        <v>869</v>
      </c>
      <c r="F2" s="5" t="s">
        <v>4</v>
      </c>
      <c r="G2" s="5" t="s">
        <v>778</v>
      </c>
      <c r="H2" s="5" t="s">
        <v>19</v>
      </c>
      <c r="I2" s="5" t="s">
        <v>5</v>
      </c>
      <c r="J2" s="5" t="s">
        <v>870</v>
      </c>
      <c r="L2" s="6" t="str">
        <f>CONCATENATE(Tabla3[[#This Row],[ID]],"_",Tabla3[[#This Row],[Nombre Caso de uso]])</f>
        <v>CU-EC-001_Consultar catálogo</v>
      </c>
    </row>
    <row r="3" spans="1:12" x14ac:dyDescent="0.25">
      <c r="A3" s="4" t="s">
        <v>448</v>
      </c>
      <c r="B3" s="5" t="s">
        <v>779</v>
      </c>
      <c r="C3" s="5" t="s">
        <v>6</v>
      </c>
      <c r="D3" s="5" t="s">
        <v>7</v>
      </c>
      <c r="E3" s="5" t="s">
        <v>872</v>
      </c>
      <c r="F3" s="5" t="s">
        <v>4</v>
      </c>
      <c r="G3" s="5" t="s">
        <v>778</v>
      </c>
      <c r="H3" s="5" t="s">
        <v>19</v>
      </c>
      <c r="I3" s="5" t="s">
        <v>8</v>
      </c>
      <c r="J3" s="5" t="s">
        <v>870</v>
      </c>
      <c r="L3" s="6" t="str">
        <f>CONCATENATE(Tabla3[[#This Row],[ID]],"_",Tabla3[[#This Row],[Nombre Caso de uso]])</f>
        <v>CU-EC-002_Buscar productos</v>
      </c>
    </row>
    <row r="4" spans="1:12" x14ac:dyDescent="0.25">
      <c r="A4" s="4" t="s">
        <v>449</v>
      </c>
      <c r="B4" s="5" t="s">
        <v>779</v>
      </c>
      <c r="C4" s="5" t="s">
        <v>9</v>
      </c>
      <c r="D4" s="5" t="s">
        <v>10</v>
      </c>
      <c r="E4" s="5" t="s">
        <v>873</v>
      </c>
      <c r="F4" s="5" t="s">
        <v>4</v>
      </c>
      <c r="G4" s="5" t="s">
        <v>778</v>
      </c>
      <c r="H4" s="5" t="s">
        <v>19</v>
      </c>
      <c r="I4" s="5" t="s">
        <v>8</v>
      </c>
      <c r="J4" s="5" t="s">
        <v>870</v>
      </c>
      <c r="L4" s="6" t="str">
        <f>CONCATENATE(Tabla3[[#This Row],[ID]],"_",Tabla3[[#This Row],[Nombre Caso de uso]])</f>
        <v>CU-EC-003_Filtrar productos</v>
      </c>
    </row>
    <row r="5" spans="1:12" x14ac:dyDescent="0.25">
      <c r="A5" s="4" t="s">
        <v>450</v>
      </c>
      <c r="B5" s="5" t="s">
        <v>780</v>
      </c>
      <c r="C5" s="5" t="s">
        <v>11</v>
      </c>
      <c r="D5" s="5" t="s">
        <v>12</v>
      </c>
      <c r="E5" s="5" t="s">
        <v>874</v>
      </c>
      <c r="F5" s="5" t="s">
        <v>4</v>
      </c>
      <c r="G5" s="5" t="s">
        <v>778</v>
      </c>
      <c r="H5" s="5" t="s">
        <v>19</v>
      </c>
      <c r="I5" s="5" t="s">
        <v>13</v>
      </c>
      <c r="J5" s="5" t="s">
        <v>870</v>
      </c>
      <c r="L5" s="6" t="str">
        <f>CONCATENATE(Tabla3[[#This Row],[ID]],"_",Tabla3[[#This Row],[Nombre Caso de uso]])</f>
        <v>CU-EC-004_Consultar ficha de producto</v>
      </c>
    </row>
    <row r="6" spans="1:12" x14ac:dyDescent="0.25">
      <c r="A6" s="4" t="s">
        <v>451</v>
      </c>
      <c r="B6" s="5" t="s">
        <v>781</v>
      </c>
      <c r="C6" s="5" t="s">
        <v>14</v>
      </c>
      <c r="D6" s="5" t="s">
        <v>15</v>
      </c>
      <c r="E6" s="5" t="s">
        <v>875</v>
      </c>
      <c r="F6" s="5" t="s">
        <v>4</v>
      </c>
      <c r="G6" s="5" t="s">
        <v>778</v>
      </c>
      <c r="H6" s="5" t="s">
        <v>19</v>
      </c>
      <c r="I6" s="5" t="s">
        <v>16</v>
      </c>
      <c r="J6" s="5" t="s">
        <v>870</v>
      </c>
      <c r="L6" s="6" t="str">
        <f>CONCATENATE(Tabla3[[#This Row],[ID]],"_",Tabla3[[#This Row],[Nombre Caso de uso]])</f>
        <v>CU-EC-005_Consultar disponibilidad</v>
      </c>
    </row>
    <row r="7" spans="1:12" x14ac:dyDescent="0.25">
      <c r="A7" s="4" t="s">
        <v>452</v>
      </c>
      <c r="B7" s="5" t="s">
        <v>780</v>
      </c>
      <c r="C7" s="5" t="s">
        <v>17</v>
      </c>
      <c r="D7" s="5" t="s">
        <v>18</v>
      </c>
      <c r="E7" s="5" t="s">
        <v>876</v>
      </c>
      <c r="F7" s="5" t="s">
        <v>4</v>
      </c>
      <c r="G7" s="5" t="s">
        <v>782</v>
      </c>
      <c r="H7" s="5" t="s">
        <v>19</v>
      </c>
      <c r="I7" s="5" t="s">
        <v>8</v>
      </c>
      <c r="J7" s="5" t="s">
        <v>870</v>
      </c>
      <c r="L7" s="6" t="str">
        <f>CONCATENATE(Tabla3[[#This Row],[ID]],"_",Tabla3[[#This Row],[Nombre Caso de uso]])</f>
        <v>CU-EC-006_Comparar productos</v>
      </c>
    </row>
    <row r="8" spans="1:12" x14ac:dyDescent="0.25">
      <c r="A8" s="4" t="s">
        <v>453</v>
      </c>
      <c r="B8" s="5" t="s">
        <v>783</v>
      </c>
      <c r="C8" s="5" t="s">
        <v>20</v>
      </c>
      <c r="D8" s="5" t="s">
        <v>21</v>
      </c>
      <c r="E8" s="5" t="s">
        <v>877</v>
      </c>
      <c r="F8" s="5" t="s">
        <v>22</v>
      </c>
      <c r="G8" s="5" t="s">
        <v>778</v>
      </c>
      <c r="H8" s="5" t="s">
        <v>19</v>
      </c>
      <c r="I8" s="5" t="s">
        <v>23</v>
      </c>
      <c r="J8" s="5" t="s">
        <v>870</v>
      </c>
      <c r="L8" s="6" t="str">
        <f>CONCATENATE(Tabla3[[#This Row],[ID]],"_",Tabla3[[#This Row],[Nombre Caso de uso]])</f>
        <v>CU-EC-007_Gestionar carrito</v>
      </c>
    </row>
    <row r="9" spans="1:12" x14ac:dyDescent="0.25">
      <c r="A9" s="4" t="s">
        <v>454</v>
      </c>
      <c r="B9" s="5" t="s">
        <v>784</v>
      </c>
      <c r="C9" s="5" t="s">
        <v>24</v>
      </c>
      <c r="D9" s="5" t="s">
        <v>25</v>
      </c>
      <c r="E9" s="5" t="s">
        <v>878</v>
      </c>
      <c r="F9" s="5" t="s">
        <v>22</v>
      </c>
      <c r="G9" s="5" t="s">
        <v>778</v>
      </c>
      <c r="H9" s="5" t="s">
        <v>19</v>
      </c>
      <c r="I9" s="5" t="s">
        <v>26</v>
      </c>
      <c r="J9" s="5" t="s">
        <v>870</v>
      </c>
      <c r="L9" s="6" t="str">
        <f>CONCATENATE(Tabla3[[#This Row],[ID]],"_",Tabla3[[#This Row],[Nombre Caso de uso]])</f>
        <v>CU-EC-008_Crear pedido desde checkout</v>
      </c>
    </row>
    <row r="10" spans="1:12" x14ac:dyDescent="0.25">
      <c r="A10" s="4" t="s">
        <v>455</v>
      </c>
      <c r="B10" s="5" t="s">
        <v>784</v>
      </c>
      <c r="C10" s="5" t="s">
        <v>27</v>
      </c>
      <c r="D10" s="5" t="s">
        <v>28</v>
      </c>
      <c r="E10" s="5" t="s">
        <v>879</v>
      </c>
      <c r="F10" s="5" t="s">
        <v>22</v>
      </c>
      <c r="G10" s="5" t="s">
        <v>778</v>
      </c>
      <c r="H10" s="5" t="s">
        <v>19</v>
      </c>
      <c r="I10" s="5" t="s">
        <v>26</v>
      </c>
      <c r="J10" s="5" t="s">
        <v>870</v>
      </c>
      <c r="L10" s="6" t="str">
        <f>CONCATENATE(Tabla3[[#This Row],[ID]],"_",Tabla3[[#This Row],[Nombre Caso de uso]])</f>
        <v>CU-EC-009_Consultar pedidos propios</v>
      </c>
    </row>
    <row r="11" spans="1:12" x14ac:dyDescent="0.25">
      <c r="A11" s="4" t="s">
        <v>456</v>
      </c>
      <c r="B11" s="5" t="s">
        <v>785</v>
      </c>
      <c r="C11" s="5" t="s">
        <v>29</v>
      </c>
      <c r="D11" s="5" t="s">
        <v>30</v>
      </c>
      <c r="E11" s="5" t="s">
        <v>880</v>
      </c>
      <c r="F11" s="5" t="s">
        <v>31</v>
      </c>
      <c r="G11" s="5" t="s">
        <v>778</v>
      </c>
      <c r="H11" s="5" t="s">
        <v>19</v>
      </c>
      <c r="I11" s="5" t="s">
        <v>32</v>
      </c>
      <c r="J11" s="5" t="s">
        <v>881</v>
      </c>
      <c r="L11" s="6" t="str">
        <f>CONCATENATE(Tabla3[[#This Row],[ID]],"_",Tabla3[[#This Row],[Nombre Caso de uso]])</f>
        <v>CU-EC-010_Procesar pago</v>
      </c>
    </row>
    <row r="12" spans="1:12" x14ac:dyDescent="0.25">
      <c r="A12" s="4" t="s">
        <v>457</v>
      </c>
      <c r="B12" s="5" t="s">
        <v>786</v>
      </c>
      <c r="C12" s="5" t="s">
        <v>33</v>
      </c>
      <c r="D12" s="5" t="s">
        <v>34</v>
      </c>
      <c r="E12" s="5" t="s">
        <v>883</v>
      </c>
      <c r="F12" s="5" t="s">
        <v>22</v>
      </c>
      <c r="G12" s="5" t="s">
        <v>782</v>
      </c>
      <c r="H12" s="5" t="s">
        <v>19</v>
      </c>
      <c r="I12" s="5" t="s">
        <v>35</v>
      </c>
      <c r="J12" s="5" t="s">
        <v>870</v>
      </c>
      <c r="L12" s="6" t="str">
        <f>CONCATENATE(Tabla3[[#This Row],[ID]],"_",Tabla3[[#This Row],[Nombre Caso de uso]])</f>
        <v>CU-EC-011_Aplicar promociones, descuentos y cupones</v>
      </c>
    </row>
    <row r="13" spans="1:12" x14ac:dyDescent="0.25">
      <c r="A13" s="4" t="s">
        <v>458</v>
      </c>
      <c r="B13" s="5" t="s">
        <v>787</v>
      </c>
      <c r="C13" s="5" t="s">
        <v>36</v>
      </c>
      <c r="D13" s="5" t="s">
        <v>37</v>
      </c>
      <c r="E13" s="5" t="s">
        <v>884</v>
      </c>
      <c r="F13" s="5" t="s">
        <v>38</v>
      </c>
      <c r="G13" s="5" t="s">
        <v>782</v>
      </c>
      <c r="H13" s="5" t="s">
        <v>19</v>
      </c>
      <c r="I13" s="5" t="s">
        <v>39</v>
      </c>
      <c r="J13" s="5" t="s">
        <v>870</v>
      </c>
      <c r="L13" s="6" t="str">
        <f>CONCATENATE(Tabla3[[#This Row],[ID]],"_",Tabla3[[#This Row],[Nombre Caso de uso]])</f>
        <v>CU-EC-012_Generar notificaciones de eventos relevantes</v>
      </c>
    </row>
    <row r="14" spans="1:12" x14ac:dyDescent="0.25">
      <c r="A14" s="4" t="s">
        <v>459</v>
      </c>
      <c r="B14" s="5" t="s">
        <v>788</v>
      </c>
      <c r="C14" s="5" t="s">
        <v>40</v>
      </c>
      <c r="D14" s="5" t="s">
        <v>41</v>
      </c>
      <c r="E14" s="5" t="s">
        <v>885</v>
      </c>
      <c r="F14" s="5" t="s">
        <v>42</v>
      </c>
      <c r="G14" s="5" t="s">
        <v>778</v>
      </c>
      <c r="H14" s="5" t="s">
        <v>19</v>
      </c>
      <c r="I14" s="5" t="s">
        <v>43</v>
      </c>
      <c r="J14" s="5" t="s">
        <v>870</v>
      </c>
      <c r="L14" s="6" t="str">
        <f>CONCATENATE(Tabla3[[#This Row],[ID]],"_",Tabla3[[#This Row],[Nombre Caso de uso]])</f>
        <v>CU-EC-013_Registrar cliente E-Commerce</v>
      </c>
    </row>
    <row r="15" spans="1:12" x14ac:dyDescent="0.25">
      <c r="A15" s="4" t="s">
        <v>460</v>
      </c>
      <c r="B15" s="5" t="s">
        <v>788</v>
      </c>
      <c r="C15" s="5" t="s">
        <v>44</v>
      </c>
      <c r="D15" s="5" t="s">
        <v>45</v>
      </c>
      <c r="E15" s="5" t="s">
        <v>886</v>
      </c>
      <c r="F15" s="5" t="s">
        <v>46</v>
      </c>
      <c r="G15" s="5" t="s">
        <v>778</v>
      </c>
      <c r="H15" s="5" t="s">
        <v>19</v>
      </c>
      <c r="I15" s="5" t="s">
        <v>47</v>
      </c>
      <c r="J15" s="5" t="s">
        <v>870</v>
      </c>
      <c r="L15" s="6" t="str">
        <f>CONCATENATE(Tabla3[[#This Row],[ID]],"_",Tabla3[[#This Row],[Nombre Caso de uso]])</f>
        <v>CU-EC-014_Iniciar sesión de cliente E-Commerce</v>
      </c>
    </row>
    <row r="16" spans="1:12" x14ac:dyDescent="0.25">
      <c r="A16" s="4" t="s">
        <v>461</v>
      </c>
      <c r="B16" s="5" t="s">
        <v>788</v>
      </c>
      <c r="C16" s="5" t="s">
        <v>48</v>
      </c>
      <c r="D16" s="5" t="s">
        <v>49</v>
      </c>
      <c r="E16" s="5" t="s">
        <v>887</v>
      </c>
      <c r="F16" s="5" t="s">
        <v>22</v>
      </c>
      <c r="G16" s="5" t="s">
        <v>778</v>
      </c>
      <c r="H16" s="5" t="s">
        <v>19</v>
      </c>
      <c r="I16" s="5" t="s">
        <v>50</v>
      </c>
      <c r="J16" s="5" t="s">
        <v>870</v>
      </c>
      <c r="L16" s="6" t="str">
        <f>CONCATENATE(Tabla3[[#This Row],[ID]],"_",Tabla3[[#This Row],[Nombre Caso de uso]])</f>
        <v>CU-EC-015_Gestionar perfil e información del cliente</v>
      </c>
    </row>
    <row r="17" spans="1:12" x14ac:dyDescent="0.25">
      <c r="A17" s="4" t="s">
        <v>462</v>
      </c>
      <c r="B17" s="5" t="s">
        <v>789</v>
      </c>
      <c r="C17" s="5" t="s">
        <v>51</v>
      </c>
      <c r="D17" s="5" t="s">
        <v>52</v>
      </c>
      <c r="E17" s="5" t="s">
        <v>888</v>
      </c>
      <c r="F17" s="5" t="s">
        <v>22</v>
      </c>
      <c r="G17" s="5" t="s">
        <v>778</v>
      </c>
      <c r="H17" s="5" t="s">
        <v>19</v>
      </c>
      <c r="I17" s="5" t="s">
        <v>53</v>
      </c>
      <c r="J17" s="5" t="s">
        <v>870</v>
      </c>
      <c r="L17" s="6" t="str">
        <f>CONCATENATE(Tabla3[[#This Row],[ID]],"_",Tabla3[[#This Row],[Nombre Caso de uso]])</f>
        <v>CU-EC-016_Consultar estado de despacho</v>
      </c>
    </row>
    <row r="18" spans="1:12" x14ac:dyDescent="0.25">
      <c r="A18" s="4" t="s">
        <v>463</v>
      </c>
      <c r="B18" s="5" t="s">
        <v>790</v>
      </c>
      <c r="C18" s="5" t="s">
        <v>54</v>
      </c>
      <c r="D18" s="5" t="s">
        <v>55</v>
      </c>
      <c r="E18" s="5" t="s">
        <v>889</v>
      </c>
      <c r="F18" s="5" t="s">
        <v>22</v>
      </c>
      <c r="G18" s="5" t="s">
        <v>778</v>
      </c>
      <c r="H18" s="5" t="s">
        <v>19</v>
      </c>
      <c r="I18" s="5" t="s">
        <v>56</v>
      </c>
      <c r="J18" s="5" t="s">
        <v>870</v>
      </c>
      <c r="L18" s="6" t="str">
        <f>CONCATENATE(Tabla3[[#This Row],[ID]],"_",Tabla3[[#This Row],[Nombre Caso de uso]])</f>
        <v>CU-EC-017_Consultar tracking del pedido</v>
      </c>
    </row>
    <row r="19" spans="1:12" x14ac:dyDescent="0.25">
      <c r="A19" s="4" t="s">
        <v>464</v>
      </c>
      <c r="B19" s="5" t="s">
        <v>791</v>
      </c>
      <c r="C19" s="5" t="s">
        <v>57</v>
      </c>
      <c r="D19" s="5" t="s">
        <v>58</v>
      </c>
      <c r="E19" s="5" t="s">
        <v>890</v>
      </c>
      <c r="F19" s="5" t="s">
        <v>59</v>
      </c>
      <c r="G19" s="5" t="s">
        <v>778</v>
      </c>
      <c r="H19" s="5" t="s">
        <v>19</v>
      </c>
      <c r="I19" s="5" t="s">
        <v>60</v>
      </c>
      <c r="J19" s="5" t="s">
        <v>870</v>
      </c>
      <c r="L19" s="6" t="str">
        <f>CONCATENATE(Tabla3[[#This Row],[ID]],"_",Tabla3[[#This Row],[Nombre Caso de uso]])</f>
        <v>CU-ERP-001_Gestionar proveedores</v>
      </c>
    </row>
    <row r="20" spans="1:12" x14ac:dyDescent="0.25">
      <c r="A20" s="4" t="s">
        <v>465</v>
      </c>
      <c r="B20" s="5" t="s">
        <v>791</v>
      </c>
      <c r="C20" s="5" t="s">
        <v>61</v>
      </c>
      <c r="D20" s="5" t="s">
        <v>62</v>
      </c>
      <c r="E20" s="5" t="s">
        <v>891</v>
      </c>
      <c r="F20" s="5" t="s">
        <v>59</v>
      </c>
      <c r="G20" s="5" t="s">
        <v>778</v>
      </c>
      <c r="H20" s="5" t="s">
        <v>19</v>
      </c>
      <c r="I20" s="5" t="s">
        <v>63</v>
      </c>
      <c r="J20" s="5" t="s">
        <v>870</v>
      </c>
      <c r="L20" s="6" t="str">
        <f>CONCATENATE(Tabla3[[#This Row],[ID]],"_",Tabla3[[#This Row],[Nombre Caso de uso]])</f>
        <v>CU-ERP-002_Registrar solicitud de compra</v>
      </c>
    </row>
    <row r="21" spans="1:12" x14ac:dyDescent="0.25">
      <c r="A21" s="4" t="s">
        <v>466</v>
      </c>
      <c r="B21" s="5" t="s">
        <v>791</v>
      </c>
      <c r="C21" s="5" t="s">
        <v>64</v>
      </c>
      <c r="D21" s="5" t="s">
        <v>65</v>
      </c>
      <c r="E21" s="5" t="s">
        <v>892</v>
      </c>
      <c r="F21" s="5" t="s">
        <v>59</v>
      </c>
      <c r="G21" s="5" t="s">
        <v>778</v>
      </c>
      <c r="H21" s="5" t="s">
        <v>19</v>
      </c>
      <c r="I21" s="5" t="s">
        <v>66</v>
      </c>
      <c r="J21" s="5" t="s">
        <v>870</v>
      </c>
      <c r="L21" s="6" t="str">
        <f>CONCATENATE(Tabla3[[#This Row],[ID]],"_",Tabla3[[#This Row],[Nombre Caso de uso]])</f>
        <v>CU-ERP-003_Crear orden de compra</v>
      </c>
    </row>
    <row r="22" spans="1:12" x14ac:dyDescent="0.25">
      <c r="A22" s="4" t="s">
        <v>467</v>
      </c>
      <c r="B22" s="5" t="s">
        <v>791</v>
      </c>
      <c r="C22" s="5" t="s">
        <v>67</v>
      </c>
      <c r="D22" s="5" t="s">
        <v>68</v>
      </c>
      <c r="E22" s="5" t="s">
        <v>893</v>
      </c>
      <c r="F22" s="5" t="s">
        <v>69</v>
      </c>
      <c r="G22" s="5" t="s">
        <v>778</v>
      </c>
      <c r="H22" s="5" t="s">
        <v>19</v>
      </c>
      <c r="I22" s="5" t="s">
        <v>66</v>
      </c>
      <c r="J22" s="5" t="s">
        <v>870</v>
      </c>
      <c r="L22" s="6" t="str">
        <f>CONCATENATE(Tabla3[[#This Row],[ID]],"_",Tabla3[[#This Row],[Nombre Caso de uso]])</f>
        <v>CU-ERP-004_Aprobar orden de compra</v>
      </c>
    </row>
    <row r="23" spans="1:12" x14ac:dyDescent="0.25">
      <c r="A23" s="4" t="s">
        <v>468</v>
      </c>
      <c r="B23" s="5" t="s">
        <v>791</v>
      </c>
      <c r="C23" s="5" t="s">
        <v>70</v>
      </c>
      <c r="D23" s="5" t="s">
        <v>71</v>
      </c>
      <c r="E23" s="5" t="s">
        <v>894</v>
      </c>
      <c r="F23" s="5" t="s">
        <v>59</v>
      </c>
      <c r="G23" s="5" t="s">
        <v>778</v>
      </c>
      <c r="H23" s="5" t="s">
        <v>19</v>
      </c>
      <c r="I23" s="5" t="s">
        <v>66</v>
      </c>
      <c r="J23" s="5" t="s">
        <v>870</v>
      </c>
      <c r="L23" s="6" t="str">
        <f>CONCATENATE(Tabla3[[#This Row],[ID]],"_",Tabla3[[#This Row],[Nombre Caso de uso]])</f>
        <v>CU-ERP-005_Modificar orden de compra</v>
      </c>
    </row>
    <row r="24" spans="1:12" x14ac:dyDescent="0.25">
      <c r="A24" s="4" t="s">
        <v>469</v>
      </c>
      <c r="B24" s="5" t="s">
        <v>791</v>
      </c>
      <c r="C24" s="5" t="s">
        <v>72</v>
      </c>
      <c r="D24" s="5" t="s">
        <v>73</v>
      </c>
      <c r="E24" s="5" t="s">
        <v>895</v>
      </c>
      <c r="F24" s="5" t="s">
        <v>74</v>
      </c>
      <c r="G24" s="5" t="s">
        <v>778</v>
      </c>
      <c r="H24" s="5" t="s">
        <v>19</v>
      </c>
      <c r="I24" s="5" t="s">
        <v>66</v>
      </c>
      <c r="J24" s="5" t="s">
        <v>870</v>
      </c>
      <c r="L24" s="6" t="str">
        <f>CONCATENATE(Tabla3[[#This Row],[ID]],"_",Tabla3[[#This Row],[Nombre Caso de uso]])</f>
        <v>CU-ERP-006_Consultar orden de compra</v>
      </c>
    </row>
    <row r="25" spans="1:12" x14ac:dyDescent="0.25">
      <c r="A25" s="4" t="s">
        <v>470</v>
      </c>
      <c r="B25" s="5" t="s">
        <v>791</v>
      </c>
      <c r="C25" s="5" t="s">
        <v>75</v>
      </c>
      <c r="D25" s="5" t="s">
        <v>76</v>
      </c>
      <c r="E25" s="5" t="s">
        <v>896</v>
      </c>
      <c r="F25" s="5" t="s">
        <v>59</v>
      </c>
      <c r="G25" s="5" t="s">
        <v>778</v>
      </c>
      <c r="H25" s="5" t="s">
        <v>19</v>
      </c>
      <c r="I25" s="5" t="s">
        <v>77</v>
      </c>
      <c r="J25" s="5" t="s">
        <v>870</v>
      </c>
      <c r="L25" s="6" t="str">
        <f>CONCATENATE(Tabla3[[#This Row],[ID]],"_",Tabla3[[#This Row],[Nombre Caso de uso]])</f>
        <v>CU-ERP-007_Registrar recepción de mercancía</v>
      </c>
    </row>
    <row r="26" spans="1:12" x14ac:dyDescent="0.25">
      <c r="A26" s="4" t="s">
        <v>471</v>
      </c>
      <c r="B26" s="5" t="s">
        <v>792</v>
      </c>
      <c r="C26" s="5" t="s">
        <v>78</v>
      </c>
      <c r="D26" s="5" t="s">
        <v>79</v>
      </c>
      <c r="E26" s="5" t="s">
        <v>897</v>
      </c>
      <c r="F26" s="5" t="s">
        <v>80</v>
      </c>
      <c r="G26" s="5" t="s">
        <v>778</v>
      </c>
      <c r="H26" s="5" t="s">
        <v>19</v>
      </c>
      <c r="I26" s="5" t="s">
        <v>81</v>
      </c>
      <c r="J26" s="5" t="s">
        <v>870</v>
      </c>
      <c r="L26" s="6" t="str">
        <f>CONCATENATE(Tabla3[[#This Row],[ID]],"_",Tabla3[[#This Row],[Nombre Caso de uso]])</f>
        <v>CU-ERP-008_Ingresar mercancía recibida a inventario</v>
      </c>
    </row>
    <row r="27" spans="1:12" x14ac:dyDescent="0.25">
      <c r="A27" s="4" t="s">
        <v>472</v>
      </c>
      <c r="B27" s="5" t="s">
        <v>791</v>
      </c>
      <c r="C27" s="5" t="s">
        <v>82</v>
      </c>
      <c r="D27" s="5" t="s">
        <v>83</v>
      </c>
      <c r="E27" s="5" t="s">
        <v>898</v>
      </c>
      <c r="F27" s="5" t="s">
        <v>84</v>
      </c>
      <c r="G27" s="5" t="s">
        <v>778</v>
      </c>
      <c r="H27" s="5" t="s">
        <v>19</v>
      </c>
      <c r="I27" s="5" t="s">
        <v>85</v>
      </c>
      <c r="J27" s="5" t="s">
        <v>870</v>
      </c>
      <c r="L27" s="6" t="str">
        <f>CONCATENATE(Tabla3[[#This Row],[ID]],"_",Tabla3[[#This Row],[Nombre Caso de uso]])</f>
        <v>CU-ERP-009_Gestionar cuentas por pagar de compras</v>
      </c>
    </row>
    <row r="28" spans="1:12" x14ac:dyDescent="0.25">
      <c r="A28" s="4" t="s">
        <v>473</v>
      </c>
      <c r="B28" s="5" t="s">
        <v>793</v>
      </c>
      <c r="C28" s="5" t="s">
        <v>86</v>
      </c>
      <c r="D28" s="5" t="s">
        <v>87</v>
      </c>
      <c r="E28" s="5" t="s">
        <v>899</v>
      </c>
      <c r="F28" s="5" t="s">
        <v>88</v>
      </c>
      <c r="G28" s="5" t="s">
        <v>778</v>
      </c>
      <c r="H28" s="5" t="s">
        <v>19</v>
      </c>
      <c r="I28" s="5" t="s">
        <v>89</v>
      </c>
      <c r="J28" s="5" t="s">
        <v>870</v>
      </c>
      <c r="L28" s="6" t="str">
        <f>CONCATENATE(Tabla3[[#This Row],[ID]],"_",Tabla3[[#This Row],[Nombre Caso de uso]])</f>
        <v>CU-INV-001_Registrar entrada de inventario</v>
      </c>
    </row>
    <row r="29" spans="1:12" x14ac:dyDescent="0.25">
      <c r="A29" s="4" t="s">
        <v>474</v>
      </c>
      <c r="B29" s="5" t="s">
        <v>793</v>
      </c>
      <c r="C29" s="5" t="s">
        <v>90</v>
      </c>
      <c r="D29" s="5" t="s">
        <v>91</v>
      </c>
      <c r="E29" s="5" t="s">
        <v>900</v>
      </c>
      <c r="F29" s="5" t="s">
        <v>92</v>
      </c>
      <c r="G29" s="5" t="s">
        <v>778</v>
      </c>
      <c r="H29" s="5" t="s">
        <v>19</v>
      </c>
      <c r="I29" s="5" t="s">
        <v>93</v>
      </c>
      <c r="J29" s="5" t="s">
        <v>870</v>
      </c>
      <c r="L29" s="6" t="str">
        <f>CONCATENATE(Tabla3[[#This Row],[ID]],"_",Tabla3[[#This Row],[Nombre Caso de uso]])</f>
        <v>CU-INV-002_Registrar salida de inventario</v>
      </c>
    </row>
    <row r="30" spans="1:12" x14ac:dyDescent="0.25">
      <c r="A30" s="4" t="s">
        <v>475</v>
      </c>
      <c r="B30" s="5" t="s">
        <v>793</v>
      </c>
      <c r="C30" s="5" t="s">
        <v>94</v>
      </c>
      <c r="D30" s="5" t="s">
        <v>95</v>
      </c>
      <c r="E30" s="5" t="s">
        <v>901</v>
      </c>
      <c r="F30" s="5" t="s">
        <v>92</v>
      </c>
      <c r="G30" s="5" t="s">
        <v>778</v>
      </c>
      <c r="H30" s="5" t="s">
        <v>19</v>
      </c>
      <c r="I30" s="5" t="s">
        <v>96</v>
      </c>
      <c r="J30" s="5" t="s">
        <v>870</v>
      </c>
      <c r="L30" s="6" t="str">
        <f>CONCATENATE(Tabla3[[#This Row],[ID]],"_",Tabla3[[#This Row],[Nombre Caso de uso]])</f>
        <v>CU-INV-003_Registrar ajuste de inventario</v>
      </c>
    </row>
    <row r="31" spans="1:12" x14ac:dyDescent="0.25">
      <c r="A31" s="4" t="s">
        <v>476</v>
      </c>
      <c r="B31" s="5" t="s">
        <v>793</v>
      </c>
      <c r="C31" s="5" t="s">
        <v>97</v>
      </c>
      <c r="D31" s="5" t="s">
        <v>98</v>
      </c>
      <c r="E31" s="5" t="s">
        <v>902</v>
      </c>
      <c r="F31" s="5" t="s">
        <v>92</v>
      </c>
      <c r="G31" s="5" t="s">
        <v>778</v>
      </c>
      <c r="H31" s="5" t="s">
        <v>19</v>
      </c>
      <c r="I31" s="5" t="s">
        <v>99</v>
      </c>
      <c r="J31" s="5" t="s">
        <v>870</v>
      </c>
      <c r="L31" s="6" t="str">
        <f>CONCATENATE(Tabla3[[#This Row],[ID]],"_",Tabla3[[#This Row],[Nombre Caso de uso]])</f>
        <v>CU-INV-004_Transferir inventario entre bodegas</v>
      </c>
    </row>
    <row r="32" spans="1:12" x14ac:dyDescent="0.25">
      <c r="A32" s="4" t="s">
        <v>477</v>
      </c>
      <c r="B32" s="5" t="s">
        <v>793</v>
      </c>
      <c r="C32" s="5" t="s">
        <v>100</v>
      </c>
      <c r="D32" s="5" t="s">
        <v>101</v>
      </c>
      <c r="E32" s="5" t="s">
        <v>903</v>
      </c>
      <c r="F32" s="5" t="s">
        <v>92</v>
      </c>
      <c r="G32" s="5" t="s">
        <v>778</v>
      </c>
      <c r="H32" s="5" t="s">
        <v>19</v>
      </c>
      <c r="I32" s="5" t="s">
        <v>102</v>
      </c>
      <c r="J32" s="5" t="s">
        <v>870</v>
      </c>
      <c r="L32" s="6" t="str">
        <f>CONCATENATE(Tabla3[[#This Row],[ID]],"_",Tabla3[[#This Row],[Nombre Caso de uso]])</f>
        <v>CU-INV-005_Gestionar bodegas</v>
      </c>
    </row>
    <row r="33" spans="1:12" x14ac:dyDescent="0.25">
      <c r="A33" s="4" t="s">
        <v>478</v>
      </c>
      <c r="B33" s="5" t="s">
        <v>793</v>
      </c>
      <c r="C33" s="5" t="s">
        <v>103</v>
      </c>
      <c r="D33" s="5" t="s">
        <v>104</v>
      </c>
      <c r="E33" s="5" t="s">
        <v>904</v>
      </c>
      <c r="F33" s="5" t="s">
        <v>105</v>
      </c>
      <c r="G33" s="5" t="s">
        <v>778</v>
      </c>
      <c r="H33" s="5" t="s">
        <v>19</v>
      </c>
      <c r="I33" s="5" t="s">
        <v>106</v>
      </c>
      <c r="J33" s="5" t="s">
        <v>870</v>
      </c>
      <c r="L33" s="6" t="str">
        <f>CONCATENATE(Tabla3[[#This Row],[ID]],"_",Tabla3[[#This Row],[Nombre Caso de uso]])</f>
        <v>CU-INV-006_Consultar Kardex</v>
      </c>
    </row>
    <row r="34" spans="1:12" x14ac:dyDescent="0.25">
      <c r="A34" s="4" t="s">
        <v>479</v>
      </c>
      <c r="B34" s="5" t="s">
        <v>793</v>
      </c>
      <c r="C34" s="5" t="s">
        <v>107</v>
      </c>
      <c r="D34" s="5" t="s">
        <v>108</v>
      </c>
      <c r="E34" s="5" t="s">
        <v>905</v>
      </c>
      <c r="F34" s="5" t="s">
        <v>92</v>
      </c>
      <c r="G34" s="5" t="s">
        <v>782</v>
      </c>
      <c r="H34" s="5" t="s">
        <v>19</v>
      </c>
      <c r="I34" s="5" t="s">
        <v>109</v>
      </c>
      <c r="J34" s="5" t="s">
        <v>870</v>
      </c>
      <c r="L34" s="6" t="str">
        <f>CONCATENATE(Tabla3[[#This Row],[ID]],"_",Tabla3[[#This Row],[Nombre Caso de uso]])</f>
        <v>CU-INV-007_Configurar y consultar stock mínimo</v>
      </c>
    </row>
    <row r="35" spans="1:12" x14ac:dyDescent="0.25">
      <c r="A35" s="4" t="s">
        <v>480</v>
      </c>
      <c r="B35" s="5" t="s">
        <v>794</v>
      </c>
      <c r="C35" s="5" t="s">
        <v>110</v>
      </c>
      <c r="D35" s="5" t="s">
        <v>111</v>
      </c>
      <c r="E35" s="5" t="s">
        <v>906</v>
      </c>
      <c r="F35" s="5" t="s">
        <v>112</v>
      </c>
      <c r="G35" s="5" t="s">
        <v>778</v>
      </c>
      <c r="H35" s="5" t="s">
        <v>19</v>
      </c>
      <c r="I35" s="5" t="s">
        <v>113</v>
      </c>
      <c r="J35" s="5" t="s">
        <v>870</v>
      </c>
      <c r="L35" s="6" t="str">
        <f>CONCATENATE(Tabla3[[#This Row],[ID]],"_",Tabla3[[#This Row],[Nombre Caso de uso]])</f>
        <v>CU-INV-008_Calcular y consultar stock disponible</v>
      </c>
    </row>
    <row r="36" spans="1:12" x14ac:dyDescent="0.25">
      <c r="A36" s="4" t="s">
        <v>481</v>
      </c>
      <c r="B36" s="5" t="s">
        <v>794</v>
      </c>
      <c r="C36" s="5" t="s">
        <v>114</v>
      </c>
      <c r="D36" s="5" t="s">
        <v>115</v>
      </c>
      <c r="E36" s="5" t="s">
        <v>907</v>
      </c>
      <c r="F36" s="5" t="s">
        <v>116</v>
      </c>
      <c r="G36" s="5" t="s">
        <v>778</v>
      </c>
      <c r="H36" s="5" t="s">
        <v>19</v>
      </c>
      <c r="I36" s="5" t="s">
        <v>117</v>
      </c>
      <c r="J36" s="5" t="s">
        <v>870</v>
      </c>
      <c r="L36" s="6" t="str">
        <f>CONCATENATE(Tabla3[[#This Row],[ID]],"_",Tabla3[[#This Row],[Nombre Caso de uso]])</f>
        <v>CU-INV-009_Gestionar stock reservado por pedidos</v>
      </c>
    </row>
    <row r="37" spans="1:12" x14ac:dyDescent="0.25">
      <c r="A37" s="4" t="s">
        <v>482</v>
      </c>
      <c r="B37" s="5" t="s">
        <v>794</v>
      </c>
      <c r="C37" s="5" t="s">
        <v>118</v>
      </c>
      <c r="D37" s="5" t="s">
        <v>119</v>
      </c>
      <c r="E37" s="5" t="s">
        <v>908</v>
      </c>
      <c r="F37" s="5" t="s">
        <v>120</v>
      </c>
      <c r="G37" s="5" t="s">
        <v>778</v>
      </c>
      <c r="H37" s="5" t="s">
        <v>19</v>
      </c>
      <c r="I37" s="5" t="s">
        <v>121</v>
      </c>
      <c r="J37" s="5" t="s">
        <v>870</v>
      </c>
      <c r="L37" s="6" t="str">
        <f>CONCATENATE(Tabla3[[#This Row],[ID]],"_",Tabla3[[#This Row],[Nombre Caso de uso]])</f>
        <v>CU-INV-010_Mantener inventario como fuente única de verdad</v>
      </c>
    </row>
    <row r="38" spans="1:12" x14ac:dyDescent="0.25">
      <c r="A38" s="4" t="s">
        <v>483</v>
      </c>
      <c r="B38" s="5" t="s">
        <v>795</v>
      </c>
      <c r="C38" s="5" t="s">
        <v>122</v>
      </c>
      <c r="D38" s="5" t="s">
        <v>123</v>
      </c>
      <c r="E38" s="5" t="s">
        <v>909</v>
      </c>
      <c r="F38" s="5" t="s">
        <v>124</v>
      </c>
      <c r="G38" s="5" t="s">
        <v>778</v>
      </c>
      <c r="H38" s="5" t="s">
        <v>19</v>
      </c>
      <c r="I38" s="5" t="s">
        <v>125</v>
      </c>
      <c r="J38" s="5" t="s">
        <v>870</v>
      </c>
      <c r="L38" s="7" t="str">
        <f>CONCATENATE(Tabla3[[#This Row],[ID]],"_",Tabla3[[#This Row],[Nombre Caso de uso]])</f>
        <v>CU-RH-001_Gestionar empleados</v>
      </c>
    </row>
    <row r="39" spans="1:12" x14ac:dyDescent="0.25">
      <c r="A39" s="4" t="s">
        <v>484</v>
      </c>
      <c r="B39" s="5" t="s">
        <v>795</v>
      </c>
      <c r="C39" s="5" t="s">
        <v>126</v>
      </c>
      <c r="D39" s="5" t="s">
        <v>127</v>
      </c>
      <c r="E39" s="5" t="s">
        <v>910</v>
      </c>
      <c r="F39" s="5" t="s">
        <v>124</v>
      </c>
      <c r="G39" s="5" t="s">
        <v>778</v>
      </c>
      <c r="H39" s="5" t="s">
        <v>19</v>
      </c>
      <c r="I39" s="5" t="s">
        <v>128</v>
      </c>
      <c r="J39" s="5" t="s">
        <v>870</v>
      </c>
      <c r="L39" s="7" t="str">
        <f>CONCATENATE(Tabla3[[#This Row],[ID]],"_",Tabla3[[#This Row],[Nombre Caso de uso]])</f>
        <v>CU-RH-002_Gestionar cargos</v>
      </c>
    </row>
    <row r="40" spans="1:12" x14ac:dyDescent="0.25">
      <c r="A40" s="4" t="s">
        <v>485</v>
      </c>
      <c r="B40" s="5" t="s">
        <v>795</v>
      </c>
      <c r="C40" s="5" t="s">
        <v>129</v>
      </c>
      <c r="D40" s="5" t="s">
        <v>130</v>
      </c>
      <c r="E40" s="5" t="s">
        <v>911</v>
      </c>
      <c r="F40" s="5" t="s">
        <v>124</v>
      </c>
      <c r="G40" s="5" t="s">
        <v>778</v>
      </c>
      <c r="H40" s="5" t="s">
        <v>19</v>
      </c>
      <c r="I40" s="5" t="s">
        <v>131</v>
      </c>
      <c r="J40" s="5" t="s">
        <v>870</v>
      </c>
      <c r="L40" s="7" t="str">
        <f>CONCATENATE(Tabla3[[#This Row],[ID]],"_",Tabla3[[#This Row],[Nombre Caso de uso]])</f>
        <v>CU-RH-003_Gestionar contratos</v>
      </c>
    </row>
    <row r="41" spans="1:12" x14ac:dyDescent="0.25">
      <c r="A41" s="4" t="s">
        <v>486</v>
      </c>
      <c r="B41" s="5" t="s">
        <v>795</v>
      </c>
      <c r="C41" s="5" t="s">
        <v>132</v>
      </c>
      <c r="D41" s="5" t="s">
        <v>133</v>
      </c>
      <c r="E41" s="5" t="s">
        <v>912</v>
      </c>
      <c r="F41" s="5" t="s">
        <v>124</v>
      </c>
      <c r="G41" s="5" t="s">
        <v>778</v>
      </c>
      <c r="H41" s="5" t="s">
        <v>19</v>
      </c>
      <c r="I41" s="5" t="s">
        <v>134</v>
      </c>
      <c r="J41" s="5" t="s">
        <v>870</v>
      </c>
      <c r="L41" s="7" t="str">
        <f>CONCATENATE(Tabla3[[#This Row],[ID]],"_",Tabla3[[#This Row],[Nombre Caso de uso]])</f>
        <v>CU-RH-004_Gestionar horarios</v>
      </c>
    </row>
    <row r="42" spans="1:12" x14ac:dyDescent="0.25">
      <c r="A42" s="4" t="s">
        <v>487</v>
      </c>
      <c r="B42" s="5" t="s">
        <v>795</v>
      </c>
      <c r="C42" s="5" t="s">
        <v>135</v>
      </c>
      <c r="D42" s="5" t="s">
        <v>136</v>
      </c>
      <c r="E42" s="5" t="s">
        <v>913</v>
      </c>
      <c r="F42" s="5" t="s">
        <v>124</v>
      </c>
      <c r="G42" s="5" t="s">
        <v>778</v>
      </c>
      <c r="H42" s="5" t="s">
        <v>19</v>
      </c>
      <c r="I42" s="5" t="s">
        <v>137</v>
      </c>
      <c r="J42" s="5" t="s">
        <v>870</v>
      </c>
      <c r="L42" s="7" t="str">
        <f>CONCATENATE(Tabla3[[#This Row],[ID]],"_",Tabla3[[#This Row],[Nombre Caso de uso]])</f>
        <v>CU-RH-005_Registrar ausencias</v>
      </c>
    </row>
    <row r="43" spans="1:12" x14ac:dyDescent="0.25">
      <c r="A43" s="4" t="s">
        <v>488</v>
      </c>
      <c r="B43" s="5" t="s">
        <v>795</v>
      </c>
      <c r="C43" s="5" t="s">
        <v>138</v>
      </c>
      <c r="D43" s="5" t="s">
        <v>139</v>
      </c>
      <c r="E43" s="5" t="s">
        <v>914</v>
      </c>
      <c r="F43" s="5" t="s">
        <v>124</v>
      </c>
      <c r="G43" s="5" t="s">
        <v>778</v>
      </c>
      <c r="H43" s="5" t="s">
        <v>19</v>
      </c>
      <c r="I43" s="5" t="s">
        <v>140</v>
      </c>
      <c r="J43" s="5" t="s">
        <v>870</v>
      </c>
      <c r="L43" s="7" t="str">
        <f>CONCATENATE(Tabla3[[#This Row],[ID]],"_",Tabla3[[#This Row],[Nombre Caso de uso]])</f>
        <v>CU-RH-006_Registrar novedades</v>
      </c>
    </row>
    <row r="44" spans="1:12" x14ac:dyDescent="0.25">
      <c r="A44" s="4" t="s">
        <v>489</v>
      </c>
      <c r="B44" s="5" t="s">
        <v>796</v>
      </c>
      <c r="C44" s="5" t="s">
        <v>141</v>
      </c>
      <c r="D44" s="5" t="s">
        <v>142</v>
      </c>
      <c r="E44" s="5" t="s">
        <v>915</v>
      </c>
      <c r="F44" s="5" t="s">
        <v>124</v>
      </c>
      <c r="G44" s="5" t="s">
        <v>778</v>
      </c>
      <c r="H44" s="5" t="s">
        <v>19</v>
      </c>
      <c r="I44" s="5" t="s">
        <v>143</v>
      </c>
      <c r="J44" s="5" t="s">
        <v>870</v>
      </c>
      <c r="L44" s="7" t="str">
        <f>CONCATENATE(Tabla3[[#This Row],[ID]],"_",Tabla3[[#This Row],[Nombre Caso de uso]])</f>
        <v>CU-RH-007_Gestionar proceso de nómina</v>
      </c>
    </row>
    <row r="45" spans="1:12" x14ac:dyDescent="0.25">
      <c r="A45" s="4" t="s">
        <v>490</v>
      </c>
      <c r="B45" s="5" t="s">
        <v>797</v>
      </c>
      <c r="C45" s="5" t="s">
        <v>144</v>
      </c>
      <c r="D45" s="5" t="s">
        <v>145</v>
      </c>
      <c r="E45" s="5" t="s">
        <v>916</v>
      </c>
      <c r="F45" s="5" t="s">
        <v>146</v>
      </c>
      <c r="G45" s="5" t="s">
        <v>778</v>
      </c>
      <c r="H45" s="5" t="s">
        <v>19</v>
      </c>
      <c r="I45" s="5" t="s">
        <v>147</v>
      </c>
      <c r="J45" s="5" t="s">
        <v>870</v>
      </c>
      <c r="L45" s="7" t="str">
        <f>CONCATENATE(Tabla3[[#This Row],[ID]],"_",Tabla3[[#This Row],[Nombre Caso de uso]])</f>
        <v>CU-CM-001_Gestionar vendedores</v>
      </c>
    </row>
    <row r="46" spans="1:12" x14ac:dyDescent="0.25">
      <c r="A46" s="4" t="s">
        <v>491</v>
      </c>
      <c r="B46" s="5" t="s">
        <v>797</v>
      </c>
      <c r="C46" s="5" t="s">
        <v>148</v>
      </c>
      <c r="D46" s="5" t="s">
        <v>149</v>
      </c>
      <c r="E46" s="5" t="s">
        <v>917</v>
      </c>
      <c r="F46" s="5" t="s">
        <v>150</v>
      </c>
      <c r="G46" s="5" t="s">
        <v>778</v>
      </c>
      <c r="H46" s="5" t="s">
        <v>19</v>
      </c>
      <c r="I46" s="5" t="s">
        <v>151</v>
      </c>
      <c r="J46" s="5" t="s">
        <v>870</v>
      </c>
      <c r="L46" s="7" t="str">
        <f>CONCATENATE(Tabla3[[#This Row],[ID]],"_",Tabla3[[#This Row],[Nombre Caso de uso]])</f>
        <v>CU-CM-002_Gestionar gerentes de zona</v>
      </c>
    </row>
    <row r="47" spans="1:12" x14ac:dyDescent="0.25">
      <c r="A47" s="4" t="s">
        <v>492</v>
      </c>
      <c r="B47" s="5" t="s">
        <v>797</v>
      </c>
      <c r="C47" s="5" t="s">
        <v>152</v>
      </c>
      <c r="D47" s="5" t="s">
        <v>153</v>
      </c>
      <c r="E47" s="5" t="s">
        <v>918</v>
      </c>
      <c r="F47" s="5" t="s">
        <v>150</v>
      </c>
      <c r="G47" s="5" t="s">
        <v>778</v>
      </c>
      <c r="H47" s="5" t="s">
        <v>19</v>
      </c>
      <c r="I47" s="5" t="s">
        <v>154</v>
      </c>
      <c r="J47" s="5" t="s">
        <v>870</v>
      </c>
      <c r="L47" s="7" t="str">
        <f>CONCATENATE(Tabla3[[#This Row],[ID]],"_",Tabla3[[#This Row],[Nombre Caso de uso]])</f>
        <v>CU-CM-003_Gestionar zonas comerciales</v>
      </c>
    </row>
    <row r="48" spans="1:12" x14ac:dyDescent="0.25">
      <c r="A48" s="4" t="s">
        <v>493</v>
      </c>
      <c r="B48" s="5" t="s">
        <v>797</v>
      </c>
      <c r="C48" s="5" t="s">
        <v>155</v>
      </c>
      <c r="D48" s="5" t="s">
        <v>156</v>
      </c>
      <c r="E48" s="5" t="s">
        <v>919</v>
      </c>
      <c r="F48" s="5" t="s">
        <v>157</v>
      </c>
      <c r="G48" s="5" t="s">
        <v>778</v>
      </c>
      <c r="H48" s="5" t="s">
        <v>19</v>
      </c>
      <c r="I48" s="5" t="s">
        <v>158</v>
      </c>
      <c r="J48" s="5" t="s">
        <v>870</v>
      </c>
      <c r="L48" s="7" t="str">
        <f>CONCATENATE(Tabla3[[#This Row],[ID]],"_",Tabla3[[#This Row],[Nombre Caso de uso]])</f>
        <v>CU-CM-004_Gestionar clientes del ámbito ERP</v>
      </c>
    </row>
    <row r="49" spans="1:12" x14ac:dyDescent="0.25">
      <c r="A49" s="4" t="s">
        <v>494</v>
      </c>
      <c r="B49" s="5" t="s">
        <v>797</v>
      </c>
      <c r="C49" s="5" t="s">
        <v>159</v>
      </c>
      <c r="D49" s="5" t="s">
        <v>160</v>
      </c>
      <c r="E49" s="5" t="s">
        <v>920</v>
      </c>
      <c r="F49" s="5" t="s">
        <v>161</v>
      </c>
      <c r="G49" s="5" t="s">
        <v>778</v>
      </c>
      <c r="H49" s="5" t="s">
        <v>19</v>
      </c>
      <c r="I49" s="5" t="s">
        <v>162</v>
      </c>
      <c r="J49" s="5" t="s">
        <v>870</v>
      </c>
      <c r="L49" s="7" t="str">
        <f>CONCATENATE(Tabla3[[#This Row],[ID]],"_",Tabla3[[#This Row],[Nombre Caso de uso]])</f>
        <v>CU-CM-005_Gestionar metas comerciales</v>
      </c>
    </row>
    <row r="50" spans="1:12" x14ac:dyDescent="0.25">
      <c r="A50" s="4" t="s">
        <v>495</v>
      </c>
      <c r="B50" s="5" t="s">
        <v>797</v>
      </c>
      <c r="C50" s="5" t="s">
        <v>163</v>
      </c>
      <c r="D50" s="5" t="s">
        <v>164</v>
      </c>
      <c r="E50" s="5" t="s">
        <v>921</v>
      </c>
      <c r="F50" s="5" t="s">
        <v>165</v>
      </c>
      <c r="G50" s="5" t="s">
        <v>778</v>
      </c>
      <c r="H50" s="5" t="s">
        <v>19</v>
      </c>
      <c r="I50" s="5" t="s">
        <v>166</v>
      </c>
      <c r="J50" s="5" t="s">
        <v>870</v>
      </c>
      <c r="L50" s="7" t="str">
        <f>CONCATENATE(Tabla3[[#This Row],[ID]],"_",Tabla3[[#This Row],[Nombre Caso de uso]])</f>
        <v>CU-CM-006_Gestionar comisiones</v>
      </c>
    </row>
    <row r="51" spans="1:12" x14ac:dyDescent="0.25">
      <c r="A51" s="4" t="s">
        <v>496</v>
      </c>
      <c r="B51" s="5" t="s">
        <v>797</v>
      </c>
      <c r="C51" s="5" t="s">
        <v>167</v>
      </c>
      <c r="D51" s="5" t="s">
        <v>168</v>
      </c>
      <c r="E51" s="5" t="s">
        <v>922</v>
      </c>
      <c r="F51" s="5" t="s">
        <v>169</v>
      </c>
      <c r="G51" s="5" t="s">
        <v>778</v>
      </c>
      <c r="H51" s="5" t="s">
        <v>19</v>
      </c>
      <c r="I51" s="5" t="s">
        <v>170</v>
      </c>
      <c r="J51" s="5" t="s">
        <v>870</v>
      </c>
      <c r="L51" s="7" t="str">
        <f>CONCATENATE(Tabla3[[#This Row],[ID]],"_",Tabla3[[#This Row],[Nombre Caso de uso]])</f>
        <v>CU-CM-007_Consultar y gestionar ventas</v>
      </c>
    </row>
    <row r="52" spans="1:12" x14ac:dyDescent="0.25">
      <c r="A52" s="4" t="s">
        <v>497</v>
      </c>
      <c r="B52" s="5" t="s">
        <v>798</v>
      </c>
      <c r="C52" s="5" t="s">
        <v>171</v>
      </c>
      <c r="D52" s="5" t="s">
        <v>172</v>
      </c>
      <c r="E52" s="5" t="s">
        <v>923</v>
      </c>
      <c r="F52" s="5" t="s">
        <v>173</v>
      </c>
      <c r="G52" s="5" t="s">
        <v>778</v>
      </c>
      <c r="H52" s="5" t="s">
        <v>19</v>
      </c>
      <c r="I52" s="5" t="s">
        <v>174</v>
      </c>
      <c r="J52" s="5" t="s">
        <v>870</v>
      </c>
      <c r="L52" s="6" t="str">
        <f>CONCATENATE(Tabla3[[#This Row],[ID]],"_",Tabla3[[#This Row],[Nombre Caso de uso]])</f>
        <v>CU-LG-001_Gestionar transportistas</v>
      </c>
    </row>
    <row r="53" spans="1:12" x14ac:dyDescent="0.25">
      <c r="A53" s="4" t="s">
        <v>498</v>
      </c>
      <c r="B53" s="5" t="s">
        <v>798</v>
      </c>
      <c r="C53" s="5" t="s">
        <v>175</v>
      </c>
      <c r="D53" s="5" t="s">
        <v>176</v>
      </c>
      <c r="E53" s="5" t="s">
        <v>924</v>
      </c>
      <c r="F53" s="5" t="s">
        <v>173</v>
      </c>
      <c r="G53" s="5" t="s">
        <v>778</v>
      </c>
      <c r="H53" s="5" t="s">
        <v>19</v>
      </c>
      <c r="I53" s="5" t="s">
        <v>177</v>
      </c>
      <c r="J53" s="5" t="s">
        <v>870</v>
      </c>
      <c r="L53" s="6" t="str">
        <f>CONCATENATE(Tabla3[[#This Row],[ID]],"_",Tabla3[[#This Row],[Nombre Caso de uso]])</f>
        <v>CU-LG-002_Gestionar vehículos</v>
      </c>
    </row>
    <row r="54" spans="1:12" x14ac:dyDescent="0.25">
      <c r="A54" s="4" t="s">
        <v>499</v>
      </c>
      <c r="B54" s="5" t="s">
        <v>798</v>
      </c>
      <c r="C54" s="5" t="s">
        <v>178</v>
      </c>
      <c r="D54" s="5" t="s">
        <v>179</v>
      </c>
      <c r="E54" s="5" t="s">
        <v>925</v>
      </c>
      <c r="F54" s="5" t="s">
        <v>173</v>
      </c>
      <c r="G54" s="5" t="s">
        <v>778</v>
      </c>
      <c r="H54" s="5" t="s">
        <v>19</v>
      </c>
      <c r="I54" s="5" t="s">
        <v>180</v>
      </c>
      <c r="J54" s="5" t="s">
        <v>881</v>
      </c>
      <c r="L54" s="6" t="str">
        <f>CONCATENATE(Tabla3[[#This Row],[ID]],"_",Tabla3[[#This Row],[Nombre Caso de uso]])</f>
        <v>CU-LG-003_Gestionar despachos</v>
      </c>
    </row>
    <row r="55" spans="1:12" x14ac:dyDescent="0.25">
      <c r="A55" s="4" t="s">
        <v>500</v>
      </c>
      <c r="B55" s="5" t="s">
        <v>798</v>
      </c>
      <c r="C55" s="5" t="s">
        <v>181</v>
      </c>
      <c r="D55" s="5" t="s">
        <v>182</v>
      </c>
      <c r="E55" s="5" t="s">
        <v>927</v>
      </c>
      <c r="F55" s="5" t="s">
        <v>173</v>
      </c>
      <c r="G55" s="5" t="s">
        <v>778</v>
      </c>
      <c r="H55" s="5" t="s">
        <v>19</v>
      </c>
      <c r="I55" s="5" t="s">
        <v>183</v>
      </c>
      <c r="J55" s="5" t="s">
        <v>881</v>
      </c>
      <c r="L55" s="6" t="str">
        <f>CONCATENATE(Tabla3[[#This Row],[ID]],"_",Tabla3[[#This Row],[Nombre Caso de uso]])</f>
        <v>CU-LG-004_Registrar y consultar guías</v>
      </c>
    </row>
    <row r="56" spans="1:12" x14ac:dyDescent="0.25">
      <c r="A56" s="4" t="s">
        <v>501</v>
      </c>
      <c r="B56" s="5" t="s">
        <v>798</v>
      </c>
      <c r="C56" s="5" t="s">
        <v>184</v>
      </c>
      <c r="D56" s="5" t="s">
        <v>185</v>
      </c>
      <c r="E56" s="5" t="s">
        <v>929</v>
      </c>
      <c r="F56" s="5" t="s">
        <v>173</v>
      </c>
      <c r="G56" s="5" t="s">
        <v>782</v>
      </c>
      <c r="H56" s="5" t="s">
        <v>19</v>
      </c>
      <c r="I56" s="5" t="s">
        <v>186</v>
      </c>
      <c r="J56" s="5" t="s">
        <v>881</v>
      </c>
      <c r="L56" s="6" t="str">
        <f>CONCATENATE(Tabla3[[#This Row],[ID]],"_",Tabla3[[#This Row],[Nombre Caso de uso]])</f>
        <v>CU-LG-005_Gestionar rutas</v>
      </c>
    </row>
    <row r="57" spans="1:12" x14ac:dyDescent="0.25">
      <c r="A57" s="4" t="s">
        <v>502</v>
      </c>
      <c r="B57" s="5" t="s">
        <v>798</v>
      </c>
      <c r="C57" s="5" t="s">
        <v>187</v>
      </c>
      <c r="D57" s="5" t="s">
        <v>188</v>
      </c>
      <c r="E57" s="5" t="s">
        <v>931</v>
      </c>
      <c r="F57" s="5" t="s">
        <v>173</v>
      </c>
      <c r="G57" s="5" t="s">
        <v>778</v>
      </c>
      <c r="H57" s="5" t="s">
        <v>19</v>
      </c>
      <c r="I57" s="5" t="s">
        <v>189</v>
      </c>
      <c r="J57" s="5" t="s">
        <v>881</v>
      </c>
      <c r="L57" s="6" t="str">
        <f>CONCATENATE(Tabla3[[#This Row],[ID]],"_",Tabla3[[#This Row],[Nombre Caso de uso]])</f>
        <v>CU-LG-006_Gestionar estados de entrega</v>
      </c>
    </row>
    <row r="58" spans="1:12" x14ac:dyDescent="0.25">
      <c r="A58" s="4" t="s">
        <v>503</v>
      </c>
      <c r="B58" s="5" t="s">
        <v>799</v>
      </c>
      <c r="C58" s="5" t="s">
        <v>190</v>
      </c>
      <c r="D58" s="5" t="s">
        <v>191</v>
      </c>
      <c r="E58" s="5" t="s">
        <v>933</v>
      </c>
      <c r="F58" s="5" t="s">
        <v>192</v>
      </c>
      <c r="G58" s="5" t="s">
        <v>778</v>
      </c>
      <c r="H58" s="5" t="s">
        <v>19</v>
      </c>
      <c r="I58" s="5" t="s">
        <v>193</v>
      </c>
      <c r="J58" s="5" t="s">
        <v>881</v>
      </c>
      <c r="L58" s="6" t="str">
        <f>CONCATENATE(Tabla3[[#This Row],[ID]],"_",Tabla3[[#This Row],[Nombre Caso de uso]])</f>
        <v>CU-FC-001_Gestionar facturas</v>
      </c>
    </row>
    <row r="59" spans="1:12" x14ac:dyDescent="0.25">
      <c r="A59" s="4" t="s">
        <v>504</v>
      </c>
      <c r="B59" s="5" t="s">
        <v>799</v>
      </c>
      <c r="C59" s="5" t="s">
        <v>194</v>
      </c>
      <c r="D59" s="5" t="s">
        <v>195</v>
      </c>
      <c r="E59" s="5" t="s">
        <v>935</v>
      </c>
      <c r="F59" s="5" t="s">
        <v>192</v>
      </c>
      <c r="G59" s="5" t="s">
        <v>778</v>
      </c>
      <c r="H59" s="5" t="s">
        <v>19</v>
      </c>
      <c r="I59" s="5" t="s">
        <v>196</v>
      </c>
      <c r="J59" s="5" t="s">
        <v>881</v>
      </c>
      <c r="L59" s="6" t="str">
        <f>CONCATENATE(Tabla3[[#This Row],[ID]],"_",Tabla3[[#This Row],[Nombre Caso de uso]])</f>
        <v>CU-FC-002_Gestionar notas crédito y débito</v>
      </c>
    </row>
    <row r="60" spans="1:12" x14ac:dyDescent="0.25">
      <c r="A60" s="4" t="s">
        <v>505</v>
      </c>
      <c r="B60" s="5" t="s">
        <v>799</v>
      </c>
      <c r="C60" s="5" t="s">
        <v>197</v>
      </c>
      <c r="D60" s="5" t="s">
        <v>198</v>
      </c>
      <c r="E60" s="5" t="s">
        <v>931</v>
      </c>
      <c r="F60" s="5" t="s">
        <v>192</v>
      </c>
      <c r="G60" s="5" t="s">
        <v>778</v>
      </c>
      <c r="H60" s="5" t="s">
        <v>19</v>
      </c>
      <c r="I60" s="5" t="s">
        <v>199</v>
      </c>
      <c r="J60" s="5" t="s">
        <v>881</v>
      </c>
      <c r="L60" s="6" t="str">
        <f>CONCATENATE(Tabla3[[#This Row],[ID]],"_",Tabla3[[#This Row],[Nombre Caso de uso]])</f>
        <v>CU-FC-003_Gestionar estados de factura</v>
      </c>
    </row>
    <row r="61" spans="1:12" x14ac:dyDescent="0.25">
      <c r="A61" s="4" t="s">
        <v>506</v>
      </c>
      <c r="B61" s="5" t="s">
        <v>799</v>
      </c>
      <c r="C61" s="5" t="s">
        <v>200</v>
      </c>
      <c r="D61" s="5" t="s">
        <v>201</v>
      </c>
      <c r="E61" s="5" t="s">
        <v>938</v>
      </c>
      <c r="F61" s="5" t="s">
        <v>192</v>
      </c>
      <c r="G61" s="5" t="s">
        <v>778</v>
      </c>
      <c r="H61" s="5" t="s">
        <v>19</v>
      </c>
      <c r="I61" s="5" t="s">
        <v>202</v>
      </c>
      <c r="J61" s="5" t="s">
        <v>881</v>
      </c>
      <c r="L61" s="6" t="str">
        <f>CONCATENATE(Tabla3[[#This Row],[ID]],"_",Tabla3[[#This Row],[Nombre Caso de uso]])</f>
        <v>CU-FC-004_Gestionar impuestos de facturación</v>
      </c>
    </row>
    <row r="62" spans="1:12" x14ac:dyDescent="0.25">
      <c r="A62" s="4" t="s">
        <v>507</v>
      </c>
      <c r="B62" s="5" t="s">
        <v>800</v>
      </c>
      <c r="C62" s="5" t="s">
        <v>203</v>
      </c>
      <c r="D62" s="5" t="s">
        <v>204</v>
      </c>
      <c r="E62" s="5" t="s">
        <v>940</v>
      </c>
      <c r="F62" s="5" t="s">
        <v>205</v>
      </c>
      <c r="G62" s="5" t="s">
        <v>778</v>
      </c>
      <c r="H62" s="5" t="s">
        <v>19</v>
      </c>
      <c r="I62" s="5" t="s">
        <v>206</v>
      </c>
      <c r="J62" s="5" t="s">
        <v>870</v>
      </c>
      <c r="L62" s="6" t="str">
        <f>CONCATENATE(Tabla3[[#This Row],[ID]],"_",Tabla3[[#This Row],[Nombre Caso de uso]])</f>
        <v>CU-CT-001_Gestionar cuentas contables</v>
      </c>
    </row>
    <row r="63" spans="1:12" x14ac:dyDescent="0.25">
      <c r="A63" s="4" t="s">
        <v>508</v>
      </c>
      <c r="B63" s="5" t="s">
        <v>800</v>
      </c>
      <c r="C63" s="5" t="s">
        <v>207</v>
      </c>
      <c r="D63" s="5" t="s">
        <v>208</v>
      </c>
      <c r="E63" s="5" t="s">
        <v>941</v>
      </c>
      <c r="F63" s="5" t="s">
        <v>205</v>
      </c>
      <c r="G63" s="5" t="s">
        <v>778</v>
      </c>
      <c r="H63" s="5" t="s">
        <v>19</v>
      </c>
      <c r="I63" s="5" t="s">
        <v>209</v>
      </c>
      <c r="J63" s="5" t="s">
        <v>881</v>
      </c>
      <c r="L63" s="6" t="str">
        <f>CONCATENATE(Tabla3[[#This Row],[ID]],"_",Tabla3[[#This Row],[Nombre Caso de uso]])</f>
        <v>CU-CT-002_Registrar movimientos contables</v>
      </c>
    </row>
    <row r="64" spans="1:12" x14ac:dyDescent="0.25">
      <c r="A64" s="4" t="s">
        <v>509</v>
      </c>
      <c r="B64" s="5" t="s">
        <v>800</v>
      </c>
      <c r="C64" s="5" t="s">
        <v>210</v>
      </c>
      <c r="D64" s="5" t="s">
        <v>211</v>
      </c>
      <c r="E64" s="5" t="s">
        <v>943</v>
      </c>
      <c r="F64" s="5" t="s">
        <v>205</v>
      </c>
      <c r="G64" s="5" t="s">
        <v>778</v>
      </c>
      <c r="H64" s="5" t="s">
        <v>19</v>
      </c>
      <c r="I64" s="5" t="s">
        <v>212</v>
      </c>
      <c r="J64" s="5" t="s">
        <v>881</v>
      </c>
      <c r="L64" s="6" t="str">
        <f>CONCATENATE(Tabla3[[#This Row],[ID]],"_",Tabla3[[#This Row],[Nombre Caso de uso]])</f>
        <v>CU-CT-003_Gestionar comprobantes</v>
      </c>
    </row>
    <row r="65" spans="1:12" x14ac:dyDescent="0.25">
      <c r="A65" s="4" t="s">
        <v>510</v>
      </c>
      <c r="B65" s="5" t="s">
        <v>800</v>
      </c>
      <c r="C65" s="5" t="s">
        <v>213</v>
      </c>
      <c r="D65" s="5" t="s">
        <v>214</v>
      </c>
      <c r="E65" s="5" t="s">
        <v>945</v>
      </c>
      <c r="F65" s="5" t="s">
        <v>205</v>
      </c>
      <c r="G65" s="5" t="s">
        <v>778</v>
      </c>
      <c r="H65" s="5" t="s">
        <v>19</v>
      </c>
      <c r="I65" s="5" t="s">
        <v>215</v>
      </c>
      <c r="J65" s="5" t="s">
        <v>881</v>
      </c>
      <c r="L65" s="6" t="str">
        <f>CONCATENATE(Tabla3[[#This Row],[ID]],"_",Tabla3[[#This Row],[Nombre Caso de uso]])</f>
        <v>CU-CT-004_Gestionar cartera</v>
      </c>
    </row>
    <row r="66" spans="1:12" x14ac:dyDescent="0.25">
      <c r="A66" s="4" t="s">
        <v>511</v>
      </c>
      <c r="B66" s="5" t="s">
        <v>800</v>
      </c>
      <c r="C66" s="5" t="s">
        <v>216</v>
      </c>
      <c r="D66" s="5" t="s">
        <v>217</v>
      </c>
      <c r="E66" s="5" t="s">
        <v>947</v>
      </c>
      <c r="F66" s="5" t="s">
        <v>205</v>
      </c>
      <c r="G66" s="5" t="s">
        <v>778</v>
      </c>
      <c r="H66" s="5" t="s">
        <v>19</v>
      </c>
      <c r="I66" s="5" t="s">
        <v>218</v>
      </c>
      <c r="J66" s="5" t="s">
        <v>881</v>
      </c>
      <c r="L66" s="6" t="str">
        <f>CONCATENATE(Tabla3[[#This Row],[ID]],"_",Tabla3[[#This Row],[Nombre Caso de uso]])</f>
        <v>CU-CT-005_Realizar conciliación</v>
      </c>
    </row>
    <row r="67" spans="1:12" x14ac:dyDescent="0.25">
      <c r="A67" s="4" t="s">
        <v>512</v>
      </c>
      <c r="B67" s="5" t="s">
        <v>800</v>
      </c>
      <c r="C67" s="5" t="s">
        <v>219</v>
      </c>
      <c r="D67" s="5" t="s">
        <v>220</v>
      </c>
      <c r="E67" s="5" t="s">
        <v>949</v>
      </c>
      <c r="F67" s="5" t="s">
        <v>221</v>
      </c>
      <c r="G67" s="5" t="s">
        <v>778</v>
      </c>
      <c r="H67" s="5" t="s">
        <v>19</v>
      </c>
      <c r="I67" s="5" t="s">
        <v>222</v>
      </c>
      <c r="J67" s="5" t="s">
        <v>870</v>
      </c>
      <c r="L67" s="6" t="str">
        <f>CONCATENATE(Tabla3[[#This Row],[ID]],"_",Tabla3[[#This Row],[Nombre Caso de uso]])</f>
        <v>CU-CT-006_Generar estados financieros</v>
      </c>
    </row>
    <row r="68" spans="1:12" x14ac:dyDescent="0.25">
      <c r="A68" s="4" t="s">
        <v>513</v>
      </c>
      <c r="B68" s="5" t="s">
        <v>801</v>
      </c>
      <c r="C68" s="5" t="s">
        <v>223</v>
      </c>
      <c r="D68" s="5" t="s">
        <v>224</v>
      </c>
      <c r="E68" s="5" t="s">
        <v>950</v>
      </c>
      <c r="F68" s="5" t="s">
        <v>225</v>
      </c>
      <c r="G68" s="5" t="s">
        <v>778</v>
      </c>
      <c r="H68" s="5" t="s">
        <v>19</v>
      </c>
      <c r="I68" s="5" t="s">
        <v>226</v>
      </c>
      <c r="J68" s="5" t="s">
        <v>870</v>
      </c>
      <c r="L68" s="5" t="str">
        <f>CONCATENATE(Tabla3[[#This Row],[ID]],"_",Tabla3[[#This Row],[Nombre Caso de uso]])</f>
        <v>CU-GE-001_Consultar dashboard gerencial</v>
      </c>
    </row>
    <row r="69" spans="1:12" x14ac:dyDescent="0.25">
      <c r="A69" s="4" t="s">
        <v>514</v>
      </c>
      <c r="B69" s="5" t="s">
        <v>801</v>
      </c>
      <c r="C69" s="5" t="s">
        <v>227</v>
      </c>
      <c r="D69" s="5" t="s">
        <v>228</v>
      </c>
      <c r="E69" s="5" t="s">
        <v>951</v>
      </c>
      <c r="F69" s="5" t="s">
        <v>225</v>
      </c>
      <c r="G69" s="5" t="s">
        <v>778</v>
      </c>
      <c r="H69" s="5" t="s">
        <v>19</v>
      </c>
      <c r="I69" s="5" t="s">
        <v>229</v>
      </c>
      <c r="J69" s="5" t="s">
        <v>870</v>
      </c>
      <c r="L69" s="5" t="str">
        <f>CONCATENATE(Tabla3[[#This Row],[ID]],"_",Tabla3[[#This Row],[Nombre Caso de uso]])</f>
        <v>CU-GE-002_Consultar indicadores de ventas</v>
      </c>
    </row>
    <row r="70" spans="1:12" x14ac:dyDescent="0.25">
      <c r="A70" s="4" t="s">
        <v>515</v>
      </c>
      <c r="B70" s="5" t="s">
        <v>801</v>
      </c>
      <c r="C70" s="5" t="s">
        <v>230</v>
      </c>
      <c r="D70" s="5" t="s">
        <v>231</v>
      </c>
      <c r="E70" s="5" t="s">
        <v>952</v>
      </c>
      <c r="F70" s="5" t="s">
        <v>225</v>
      </c>
      <c r="G70" s="5" t="s">
        <v>778</v>
      </c>
      <c r="H70" s="5" t="s">
        <v>19</v>
      </c>
      <c r="I70" s="5" t="s">
        <v>232</v>
      </c>
      <c r="J70" s="5" t="s">
        <v>870</v>
      </c>
      <c r="L70" s="5" t="str">
        <f>CONCATENATE(Tabla3[[#This Row],[ID]],"_",Tabla3[[#This Row],[Nombre Caso de uso]])</f>
        <v>CU-GE-003_Consultar rentabilidad</v>
      </c>
    </row>
    <row r="71" spans="1:12" x14ac:dyDescent="0.25">
      <c r="A71" s="4" t="s">
        <v>516</v>
      </c>
      <c r="B71" s="5" t="s">
        <v>801</v>
      </c>
      <c r="C71" s="5" t="s">
        <v>233</v>
      </c>
      <c r="D71" s="5" t="s">
        <v>234</v>
      </c>
      <c r="E71" s="5" t="s">
        <v>953</v>
      </c>
      <c r="F71" s="5" t="s">
        <v>225</v>
      </c>
      <c r="G71" s="5" t="s">
        <v>778</v>
      </c>
      <c r="H71" s="5" t="s">
        <v>19</v>
      </c>
      <c r="I71" s="5" t="s">
        <v>235</v>
      </c>
      <c r="J71" s="5" t="s">
        <v>870</v>
      </c>
      <c r="L71" s="5" t="str">
        <f>CONCATENATE(Tabla3[[#This Row],[ID]],"_",Tabla3[[#This Row],[Nombre Caso de uso]])</f>
        <v>CU-GE-004_Consultar indicadores de inventario</v>
      </c>
    </row>
    <row r="72" spans="1:12" x14ac:dyDescent="0.25">
      <c r="A72" s="4" t="s">
        <v>517</v>
      </c>
      <c r="B72" s="5" t="s">
        <v>801</v>
      </c>
      <c r="C72" s="5" t="s">
        <v>236</v>
      </c>
      <c r="D72" s="5" t="s">
        <v>237</v>
      </c>
      <c r="E72" s="5" t="s">
        <v>954</v>
      </c>
      <c r="F72" s="5" t="s">
        <v>225</v>
      </c>
      <c r="G72" s="5" t="s">
        <v>778</v>
      </c>
      <c r="H72" s="5" t="s">
        <v>19</v>
      </c>
      <c r="I72" s="5" t="s">
        <v>238</v>
      </c>
      <c r="J72" s="5" t="s">
        <v>870</v>
      </c>
      <c r="L72" s="5" t="str">
        <f>CONCATENATE(Tabla3[[#This Row],[ID]],"_",Tabla3[[#This Row],[Nombre Caso de uso]])</f>
        <v>CU-GE-005_Consultar indicadores de compras</v>
      </c>
    </row>
    <row r="73" spans="1:12" x14ac:dyDescent="0.25">
      <c r="A73" s="4" t="s">
        <v>518</v>
      </c>
      <c r="B73" s="5" t="s">
        <v>801</v>
      </c>
      <c r="C73" s="5" t="s">
        <v>239</v>
      </c>
      <c r="D73" s="5" t="s">
        <v>240</v>
      </c>
      <c r="E73" s="5" t="s">
        <v>955</v>
      </c>
      <c r="F73" s="5" t="s">
        <v>225</v>
      </c>
      <c r="G73" s="5" t="s">
        <v>778</v>
      </c>
      <c r="H73" s="5" t="s">
        <v>19</v>
      </c>
      <c r="I73" s="5" t="s">
        <v>241</v>
      </c>
      <c r="J73" s="5" t="s">
        <v>870</v>
      </c>
      <c r="L73" s="5" t="str">
        <f>CONCATENATE(Tabla3[[#This Row],[ID]],"_",Tabla3[[#This Row],[Nombre Caso de uso]])</f>
        <v>CU-GE-006_Consultar indicadores de cartera</v>
      </c>
    </row>
    <row r="74" spans="1:12" x14ac:dyDescent="0.25">
      <c r="A74" s="4" t="s">
        <v>519</v>
      </c>
      <c r="B74" s="5" t="s">
        <v>801</v>
      </c>
      <c r="C74" s="5" t="s">
        <v>242</v>
      </c>
      <c r="D74" s="5" t="s">
        <v>243</v>
      </c>
      <c r="E74" s="5" t="s">
        <v>956</v>
      </c>
      <c r="F74" s="5" t="s">
        <v>225</v>
      </c>
      <c r="G74" s="5" t="s">
        <v>778</v>
      </c>
      <c r="H74" s="5" t="s">
        <v>19</v>
      </c>
      <c r="I74" s="5" t="s">
        <v>244</v>
      </c>
      <c r="J74" s="5" t="s">
        <v>870</v>
      </c>
      <c r="L74" s="5" t="str">
        <f>CONCATENATE(Tabla3[[#This Row],[ID]],"_",Tabla3[[#This Row],[Nombre Caso de uso]])</f>
        <v>CU-GE-007_Consultar indicadores logísticos</v>
      </c>
    </row>
    <row r="75" spans="1:12" x14ac:dyDescent="0.25">
      <c r="A75" s="4" t="s">
        <v>520</v>
      </c>
      <c r="B75" s="5" t="s">
        <v>801</v>
      </c>
      <c r="C75" s="5" t="s">
        <v>245</v>
      </c>
      <c r="D75" s="5" t="s">
        <v>246</v>
      </c>
      <c r="E75" s="5" t="s">
        <v>957</v>
      </c>
      <c r="F75" s="5" t="s">
        <v>225</v>
      </c>
      <c r="G75" s="5" t="s">
        <v>778</v>
      </c>
      <c r="H75" s="5" t="s">
        <v>19</v>
      </c>
      <c r="I75" s="5" t="s">
        <v>247</v>
      </c>
      <c r="J75" s="5" t="s">
        <v>870</v>
      </c>
      <c r="L75" s="5" t="str">
        <f>CONCATENATE(Tabla3[[#This Row],[ID]],"_",Tabla3[[#This Row],[Nombre Caso de uso]])</f>
        <v>CU-GE-008_Consultar indicadores de nómina</v>
      </c>
    </row>
    <row r="76" spans="1:12" x14ac:dyDescent="0.25">
      <c r="A76" s="4" t="s">
        <v>521</v>
      </c>
      <c r="B76" s="5" t="s">
        <v>801</v>
      </c>
      <c r="C76" s="5" t="s">
        <v>248</v>
      </c>
      <c r="D76" s="5" t="s">
        <v>249</v>
      </c>
      <c r="E76" s="5" t="s">
        <v>958</v>
      </c>
      <c r="F76" s="5" t="s">
        <v>225</v>
      </c>
      <c r="G76" s="5" t="s">
        <v>778</v>
      </c>
      <c r="H76" s="5" t="s">
        <v>19</v>
      </c>
      <c r="I76" s="5" t="s">
        <v>250</v>
      </c>
      <c r="J76" s="5" t="s">
        <v>870</v>
      </c>
      <c r="L76" s="5" t="str">
        <f>CONCATENATE(Tabla3[[#This Row],[ID]],"_",Tabla3[[#This Row],[Nombre Caso de uso]])</f>
        <v>CU-GE-009_Consultar indicadores comerciales</v>
      </c>
    </row>
    <row r="77" spans="1:12" x14ac:dyDescent="0.25">
      <c r="A77" s="4" t="s">
        <v>522</v>
      </c>
      <c r="B77" s="5" t="s">
        <v>802</v>
      </c>
      <c r="C77" s="5" t="s">
        <v>251</v>
      </c>
      <c r="D77" s="5" t="s">
        <v>252</v>
      </c>
      <c r="E77" s="5" t="s">
        <v>959</v>
      </c>
      <c r="F77" s="5" t="s">
        <v>253</v>
      </c>
      <c r="G77" s="5" t="s">
        <v>778</v>
      </c>
      <c r="H77" s="5" t="s">
        <v>19</v>
      </c>
      <c r="I77" s="5" t="s">
        <v>254</v>
      </c>
      <c r="J77" s="5" t="s">
        <v>881</v>
      </c>
      <c r="L77" s="5" t="str">
        <f>CONCATENATE(Tabla3[[#This Row],[ID]],"_",Tabla3[[#This Row],[Nombre Caso de uso]])</f>
        <v>CU-SEC-001_Administrar roles y perfiles</v>
      </c>
    </row>
    <row r="78" spans="1:12" x14ac:dyDescent="0.25">
      <c r="A78" s="4" t="s">
        <v>523</v>
      </c>
      <c r="B78" s="5" t="s">
        <v>802</v>
      </c>
      <c r="C78" s="5" t="s">
        <v>255</v>
      </c>
      <c r="D78" s="5" t="s">
        <v>256</v>
      </c>
      <c r="E78" s="5" t="s">
        <v>961</v>
      </c>
      <c r="F78" s="5" t="s">
        <v>253</v>
      </c>
      <c r="G78" s="5" t="s">
        <v>778</v>
      </c>
      <c r="H78" s="5" t="s">
        <v>19</v>
      </c>
      <c r="I78" s="5" t="s">
        <v>254</v>
      </c>
      <c r="J78" s="5" t="s">
        <v>881</v>
      </c>
      <c r="L78" s="5" t="str">
        <f>CONCATENATE(Tabla3[[#This Row],[ID]],"_",Tabla3[[#This Row],[Nombre Caso de uso]])</f>
        <v>CU-SEC-002_Asignar rol a usuario</v>
      </c>
    </row>
    <row r="79" spans="1:12" x14ac:dyDescent="0.25">
      <c r="A79" s="4" t="s">
        <v>524</v>
      </c>
      <c r="B79" s="5" t="s">
        <v>803</v>
      </c>
      <c r="C79" s="5" t="s">
        <v>257</v>
      </c>
      <c r="D79" s="5" t="s">
        <v>258</v>
      </c>
      <c r="E79" s="5" t="s">
        <v>962</v>
      </c>
      <c r="F79" s="5" t="s">
        <v>253</v>
      </c>
      <c r="G79" s="5" t="s">
        <v>778</v>
      </c>
      <c r="H79" s="5" t="s">
        <v>19</v>
      </c>
      <c r="I79" s="5" t="s">
        <v>259</v>
      </c>
      <c r="J79" s="5" t="s">
        <v>881</v>
      </c>
      <c r="L79" s="5" t="str">
        <f>CONCATENATE(Tabla3[[#This Row],[ID]],"_",Tabla3[[#This Row],[Nombre Caso de uso]])</f>
        <v>CU-SEC-003_Configurar alcance por zona</v>
      </c>
    </row>
    <row r="80" spans="1:12" x14ac:dyDescent="0.25">
      <c r="A80" s="4" t="s">
        <v>525</v>
      </c>
      <c r="B80" s="5" t="s">
        <v>803</v>
      </c>
      <c r="C80" s="5" t="s">
        <v>260</v>
      </c>
      <c r="D80" s="5" t="s">
        <v>261</v>
      </c>
      <c r="E80" s="5" t="s">
        <v>963</v>
      </c>
      <c r="F80" s="5" t="s">
        <v>253</v>
      </c>
      <c r="G80" s="5" t="s">
        <v>778</v>
      </c>
      <c r="H80" s="5" t="s">
        <v>19</v>
      </c>
      <c r="I80" s="5" t="s">
        <v>259</v>
      </c>
      <c r="J80" s="5" t="s">
        <v>881</v>
      </c>
      <c r="L80" s="5" t="str">
        <f>CONCATENATE(Tabla3[[#This Row],[ID]],"_",Tabla3[[#This Row],[Nombre Caso de uso]])</f>
        <v>CU-SEC-004_Configurar alcance por vendedor</v>
      </c>
    </row>
    <row r="81" spans="1:12" x14ac:dyDescent="0.25">
      <c r="A81" s="4" t="s">
        <v>526</v>
      </c>
      <c r="B81" s="5" t="s">
        <v>802</v>
      </c>
      <c r="C81" s="5" t="s">
        <v>262</v>
      </c>
      <c r="D81" s="5" t="s">
        <v>263</v>
      </c>
      <c r="E81" s="5" t="s">
        <v>964</v>
      </c>
      <c r="F81" s="5" t="s">
        <v>253</v>
      </c>
      <c r="G81" s="5" t="s">
        <v>778</v>
      </c>
      <c r="H81" s="5" t="s">
        <v>19</v>
      </c>
      <c r="I81" s="5" t="s">
        <v>254</v>
      </c>
      <c r="J81" s="5" t="s">
        <v>881</v>
      </c>
      <c r="L81" s="5" t="str">
        <f>CONCATENATE(Tabla3[[#This Row],[ID]],"_",Tabla3[[#This Row],[Nombre Caso de uso]])</f>
        <v>CU-SEC-005_Consultar matriz de roles y alcance</v>
      </c>
    </row>
    <row r="82" spans="1:12" x14ac:dyDescent="0.25">
      <c r="A82" s="4" t="s">
        <v>527</v>
      </c>
      <c r="B82" s="5" t="s">
        <v>802</v>
      </c>
      <c r="C82" s="5" t="s">
        <v>264</v>
      </c>
      <c r="D82" s="5" t="s">
        <v>265</v>
      </c>
      <c r="E82" s="5" t="s">
        <v>965</v>
      </c>
      <c r="F82" s="5" t="s">
        <v>266</v>
      </c>
      <c r="G82" s="5" t="s">
        <v>778</v>
      </c>
      <c r="H82" s="5" t="s">
        <v>19</v>
      </c>
      <c r="I82" s="5" t="s">
        <v>267</v>
      </c>
      <c r="J82" s="5" t="s">
        <v>881</v>
      </c>
      <c r="L82" s="5" t="str">
        <f>CONCATENATE(Tabla3[[#This Row],[ID]],"_",Tabla3[[#This Row],[Nombre Caso de uso]])</f>
        <v>CU-SEC-006_Aplicar política de acceso a módulo</v>
      </c>
    </row>
    <row r="83" spans="1:12" x14ac:dyDescent="0.25">
      <c r="A83" s="4" t="s">
        <v>528</v>
      </c>
      <c r="B83" s="5" t="s">
        <v>803</v>
      </c>
      <c r="C83" s="5" t="s">
        <v>268</v>
      </c>
      <c r="D83" s="5" t="s">
        <v>269</v>
      </c>
      <c r="E83" s="5" t="s">
        <v>966</v>
      </c>
      <c r="F83" s="5" t="s">
        <v>266</v>
      </c>
      <c r="G83" s="5" t="s">
        <v>778</v>
      </c>
      <c r="H83" s="5" t="s">
        <v>19</v>
      </c>
      <c r="I83" s="5" t="s">
        <v>270</v>
      </c>
      <c r="J83" s="5" t="s">
        <v>881</v>
      </c>
      <c r="L83" s="5" t="str">
        <f>CONCATENATE(Tabla3[[#This Row],[ID]],"_",Tabla3[[#This Row],[Nombre Caso de uso]])</f>
        <v>CU-SEC-007_Restringir datos por zona y vendedor</v>
      </c>
    </row>
    <row r="84" spans="1:12" x14ac:dyDescent="0.25">
      <c r="A84" s="4" t="s">
        <v>529</v>
      </c>
      <c r="B84" s="5" t="s">
        <v>804</v>
      </c>
      <c r="C84" s="5" t="s">
        <v>271</v>
      </c>
      <c r="D84" s="5" t="s">
        <v>272</v>
      </c>
      <c r="E84" s="5" t="s">
        <v>967</v>
      </c>
      <c r="F84" s="5" t="s">
        <v>273</v>
      </c>
      <c r="G84" s="5" t="s">
        <v>778</v>
      </c>
      <c r="H84" s="5" t="s">
        <v>19</v>
      </c>
      <c r="I84" s="5" t="s">
        <v>274</v>
      </c>
      <c r="J84" s="5" t="s">
        <v>881</v>
      </c>
      <c r="L84" s="5" t="str">
        <f>CONCATENATE(Tabla3[[#This Row],[ID]],"_",Tabla3[[#This Row],[Nombre Caso de uso]])</f>
        <v>CU-SEC-008_Consultar auditoría de operaciones</v>
      </c>
    </row>
    <row r="85" spans="1:12" x14ac:dyDescent="0.25">
      <c r="A85" s="4" t="s">
        <v>530</v>
      </c>
      <c r="B85" s="5" t="s">
        <v>802</v>
      </c>
      <c r="C85" s="5" t="s">
        <v>275</v>
      </c>
      <c r="D85" s="5" t="s">
        <v>276</v>
      </c>
      <c r="E85" s="5" t="s">
        <v>968</v>
      </c>
      <c r="F85" s="5" t="s">
        <v>277</v>
      </c>
      <c r="G85" s="5" t="s">
        <v>778</v>
      </c>
      <c r="H85" s="5" t="s">
        <v>19</v>
      </c>
      <c r="I85" s="5" t="s">
        <v>278</v>
      </c>
      <c r="J85" s="5" t="s">
        <v>881</v>
      </c>
      <c r="L85" s="5" t="str">
        <f>CONCATENATE(Tabla3[[#This Row],[ID]],"_",Tabla3[[#This Row],[Nombre Caso de uso]])</f>
        <v>CU-SEC-009_Autenticar usuarios internos</v>
      </c>
    </row>
    <row r="86" spans="1:12" x14ac:dyDescent="0.25">
      <c r="A86" s="4" t="s">
        <v>531</v>
      </c>
      <c r="B86" s="5" t="s">
        <v>805</v>
      </c>
      <c r="C86" s="5" t="s">
        <v>279</v>
      </c>
      <c r="D86" s="5" t="s">
        <v>280</v>
      </c>
      <c r="E86" s="5" t="s">
        <v>969</v>
      </c>
      <c r="F86" s="5" t="s">
        <v>281</v>
      </c>
      <c r="G86" s="5" t="s">
        <v>778</v>
      </c>
      <c r="H86" s="5" t="s">
        <v>19</v>
      </c>
      <c r="I86" s="5" t="s">
        <v>282</v>
      </c>
      <c r="J86" s="5" t="s">
        <v>881</v>
      </c>
      <c r="L86" s="5" t="str">
        <f>CONCATENATE(Tabla3[[#This Row],[ID]],"_",Tabla3[[#This Row],[Nombre Caso de uso]])</f>
        <v>CU-SEC-010_Validar autorización de API protegida</v>
      </c>
    </row>
    <row r="87" spans="1:12" x14ac:dyDescent="0.25">
      <c r="A87" s="4" t="s">
        <v>532</v>
      </c>
      <c r="B87" s="5" t="s">
        <v>806</v>
      </c>
      <c r="C87" s="5" t="s">
        <v>283</v>
      </c>
      <c r="D87" s="5" t="s">
        <v>284</v>
      </c>
      <c r="E87" s="5" t="s">
        <v>970</v>
      </c>
      <c r="F87" s="5" t="s">
        <v>285</v>
      </c>
      <c r="G87" s="5" t="s">
        <v>778</v>
      </c>
      <c r="H87" s="5" t="s">
        <v>19</v>
      </c>
      <c r="I87" s="5" t="s">
        <v>286</v>
      </c>
      <c r="J87" s="5" t="s">
        <v>881</v>
      </c>
      <c r="L87" s="5" t="str">
        <f>CONCATENATE(Tabla3[[#This Row],[ID]],"_",Tabla3[[#This Row],[Nombre Caso de uso]])</f>
        <v>CU-SEC-011_Gestionar secretos mediante Secret Manager</v>
      </c>
    </row>
    <row r="88" spans="1:12" x14ac:dyDescent="0.25">
      <c r="A88" s="4" t="s">
        <v>533</v>
      </c>
      <c r="B88" s="5" t="s">
        <v>803</v>
      </c>
      <c r="C88" s="5" t="s">
        <v>287</v>
      </c>
      <c r="D88" s="5" t="s">
        <v>288</v>
      </c>
      <c r="E88" s="5" t="s">
        <v>971</v>
      </c>
      <c r="F88" s="5" t="s">
        <v>266</v>
      </c>
      <c r="G88" s="5" t="s">
        <v>778</v>
      </c>
      <c r="H88" s="5" t="s">
        <v>19</v>
      </c>
      <c r="I88" s="5" t="s">
        <v>289</v>
      </c>
      <c r="J88" s="5" t="s">
        <v>881</v>
      </c>
      <c r="L88" s="5" t="str">
        <f>CONCATENATE(Tabla3[[#This Row],[ID]],"_",Tabla3[[#This Row],[Nombre Caso de uso]])</f>
        <v>CU-SEC-012_Aplicar aislamiento por zona</v>
      </c>
    </row>
    <row r="89" spans="1:12" x14ac:dyDescent="0.25">
      <c r="A89" s="4" t="s">
        <v>534</v>
      </c>
      <c r="B89" s="5" t="s">
        <v>803</v>
      </c>
      <c r="C89" s="5" t="s">
        <v>290</v>
      </c>
      <c r="D89" s="5" t="s">
        <v>291</v>
      </c>
      <c r="E89" s="5" t="s">
        <v>971</v>
      </c>
      <c r="F89" s="5" t="s">
        <v>266</v>
      </c>
      <c r="G89" s="5" t="s">
        <v>778</v>
      </c>
      <c r="H89" s="5" t="s">
        <v>19</v>
      </c>
      <c r="I89" s="5" t="s">
        <v>292</v>
      </c>
      <c r="J89" s="5" t="s">
        <v>881</v>
      </c>
      <c r="L89" s="5" t="str">
        <f>CONCATENATE(Tabla3[[#This Row],[ID]],"_",Tabla3[[#This Row],[Nombre Caso de uso]])</f>
        <v>CU-SEC-013_Aplicar aislamiento por vendedor</v>
      </c>
    </row>
    <row r="90" spans="1:12" x14ac:dyDescent="0.25">
      <c r="A90" s="4" t="s">
        <v>535</v>
      </c>
      <c r="B90" s="5" t="s">
        <v>804</v>
      </c>
      <c r="C90" s="5" t="s">
        <v>293</v>
      </c>
      <c r="D90" s="5" t="s">
        <v>294</v>
      </c>
      <c r="E90" s="5" t="s">
        <v>972</v>
      </c>
      <c r="F90" s="5" t="s">
        <v>266</v>
      </c>
      <c r="G90" s="5" t="s">
        <v>778</v>
      </c>
      <c r="H90" s="5" t="s">
        <v>19</v>
      </c>
      <c r="I90" s="5" t="s">
        <v>295</v>
      </c>
      <c r="J90" s="5" t="s">
        <v>881</v>
      </c>
      <c r="L90" s="5" t="str">
        <f>CONCATENATE(Tabla3[[#This Row],[ID]],"_",Tabla3[[#This Row],[Nombre Caso de uso]])</f>
        <v>CU-SEC-014_Registrar quién, qué, cuándo y resultado</v>
      </c>
    </row>
    <row r="91" spans="1:12" x14ac:dyDescent="0.25">
      <c r="A91" s="4" t="s">
        <v>536</v>
      </c>
      <c r="B91" s="5" t="s">
        <v>804</v>
      </c>
      <c r="C91" s="5" t="s">
        <v>296</v>
      </c>
      <c r="D91" s="5" t="s">
        <v>297</v>
      </c>
      <c r="E91" s="5" t="s">
        <v>973</v>
      </c>
      <c r="F91" s="5" t="s">
        <v>266</v>
      </c>
      <c r="G91" s="5" t="s">
        <v>778</v>
      </c>
      <c r="H91" s="5" t="s">
        <v>19</v>
      </c>
      <c r="I91" s="5" t="s">
        <v>298</v>
      </c>
      <c r="J91" s="5" t="s">
        <v>881</v>
      </c>
      <c r="L91" s="5" t="str">
        <f>CONCATENATE(Tabla3[[#This Row],[ID]],"_",Tabla3[[#This Row],[Nombre Caso de uso]])</f>
        <v>CU-SEC-015_Mantener trazabilidad de operación crítica</v>
      </c>
    </row>
    <row r="92" spans="1:12" x14ac:dyDescent="0.25">
      <c r="A92" s="4" t="s">
        <v>537</v>
      </c>
      <c r="B92" s="5" t="s">
        <v>807</v>
      </c>
      <c r="C92" s="5" t="s">
        <v>299</v>
      </c>
      <c r="D92" s="5" t="s">
        <v>300</v>
      </c>
      <c r="E92" s="5" t="s">
        <v>974</v>
      </c>
      <c r="F92" s="5" t="s">
        <v>301</v>
      </c>
      <c r="G92" s="5" t="s">
        <v>778</v>
      </c>
      <c r="H92" s="5" t="s">
        <v>19</v>
      </c>
      <c r="I92" s="5" t="s">
        <v>302</v>
      </c>
      <c r="J92" s="5" t="s">
        <v>870</v>
      </c>
      <c r="L92" s="5" t="str">
        <f>CONCATENATE(Tabla3[[#This Row],[ID]],"_",Tabla3[[#This Row],[Nombre Caso de uso]])</f>
        <v>CU-DEV-001_Gestionar código y configuración en Git</v>
      </c>
    </row>
    <row r="93" spans="1:12" x14ac:dyDescent="0.25">
      <c r="A93" s="4" t="s">
        <v>538</v>
      </c>
      <c r="B93" s="5" t="s">
        <v>807</v>
      </c>
      <c r="C93" s="5" t="s">
        <v>303</v>
      </c>
      <c r="D93" s="5" t="s">
        <v>304</v>
      </c>
      <c r="E93" s="5" t="s">
        <v>975</v>
      </c>
      <c r="F93" s="5" t="s">
        <v>301</v>
      </c>
      <c r="G93" s="5" t="s">
        <v>778</v>
      </c>
      <c r="H93" s="5" t="s">
        <v>19</v>
      </c>
      <c r="I93" s="5" t="s">
        <v>305</v>
      </c>
      <c r="J93" s="5" t="s">
        <v>870</v>
      </c>
      <c r="L93" s="5" t="str">
        <f>CONCATENATE(Tabla3[[#This Row],[ID]],"_",Tabla3[[#This Row],[Nombre Caso de uso]])</f>
        <v>CU-DEV-002_Gestionar ramas y pull requests con revisión</v>
      </c>
    </row>
    <row r="94" spans="1:12" x14ac:dyDescent="0.25">
      <c r="A94" s="4" t="s">
        <v>539</v>
      </c>
      <c r="B94" s="5" t="s">
        <v>807</v>
      </c>
      <c r="C94" s="5" t="s">
        <v>306</v>
      </c>
      <c r="D94" s="5" t="s">
        <v>307</v>
      </c>
      <c r="E94" s="5" t="s">
        <v>976</v>
      </c>
      <c r="F94" s="5" t="s">
        <v>308</v>
      </c>
      <c r="G94" s="5" t="s">
        <v>778</v>
      </c>
      <c r="H94" s="5" t="s">
        <v>19</v>
      </c>
      <c r="I94" s="5" t="s">
        <v>309</v>
      </c>
      <c r="J94" s="5" t="s">
        <v>870</v>
      </c>
      <c r="L94" s="5" t="str">
        <f>CONCATENATE(Tabla3[[#This Row],[ID]],"_",Tabla3[[#This Row],[Nombre Caso de uso]])</f>
        <v>CU-DEV-003_Ejecutar CI con build, pruebas y validaciones</v>
      </c>
    </row>
    <row r="95" spans="1:12" x14ac:dyDescent="0.25">
      <c r="A95" s="4" t="s">
        <v>540</v>
      </c>
      <c r="B95" s="5" t="s">
        <v>808</v>
      </c>
      <c r="C95" s="5" t="s">
        <v>310</v>
      </c>
      <c r="D95" s="5" t="s">
        <v>311</v>
      </c>
      <c r="E95" s="5" t="s">
        <v>977</v>
      </c>
      <c r="F95" s="5" t="s">
        <v>308</v>
      </c>
      <c r="G95" s="5" t="s">
        <v>778</v>
      </c>
      <c r="H95" s="5" t="s">
        <v>19</v>
      </c>
      <c r="I95" s="5" t="s">
        <v>312</v>
      </c>
      <c r="J95" s="5" t="s">
        <v>870</v>
      </c>
      <c r="L95" s="5" t="str">
        <f>CONCATENATE(Tabla3[[#This Row],[ID]],"_",Tabla3[[#This Row],[Nombre Caso de uso]])</f>
        <v>CU-DEV-004_Ejecutar controles de calidad y seguridad</v>
      </c>
    </row>
    <row r="96" spans="1:12" x14ac:dyDescent="0.25">
      <c r="A96" s="4" t="s">
        <v>541</v>
      </c>
      <c r="B96" s="5" t="s">
        <v>809</v>
      </c>
      <c r="C96" s="5" t="s">
        <v>313</v>
      </c>
      <c r="D96" s="5" t="s">
        <v>314</v>
      </c>
      <c r="E96" s="5" t="s">
        <v>978</v>
      </c>
      <c r="F96" s="5" t="s">
        <v>308</v>
      </c>
      <c r="G96" s="5" t="s">
        <v>778</v>
      </c>
      <c r="H96" s="5" t="s">
        <v>19</v>
      </c>
      <c r="I96" s="5" t="s">
        <v>315</v>
      </c>
      <c r="J96" s="5" t="s">
        <v>870</v>
      </c>
      <c r="L96" s="5" t="str">
        <f>CONCATENATE(Tabla3[[#This Row],[ID]],"_",Tabla3[[#This Row],[Nombre Caso de uso]])</f>
        <v>CU-DEV-005_Ejecutar pruebas automatizadas</v>
      </c>
    </row>
    <row r="97" spans="1:12" x14ac:dyDescent="0.25">
      <c r="A97" s="4" t="s">
        <v>542</v>
      </c>
      <c r="B97" s="5" t="s">
        <v>810</v>
      </c>
      <c r="C97" s="5" t="s">
        <v>316</v>
      </c>
      <c r="D97" s="5" t="s">
        <v>317</v>
      </c>
      <c r="E97" s="5" t="s">
        <v>979</v>
      </c>
      <c r="F97" s="5" t="s">
        <v>308</v>
      </c>
      <c r="G97" s="5" t="s">
        <v>778</v>
      </c>
      <c r="H97" s="5" t="s">
        <v>19</v>
      </c>
      <c r="I97" s="5" t="s">
        <v>318</v>
      </c>
      <c r="J97" s="5" t="s">
        <v>870</v>
      </c>
      <c r="L97" s="5" t="str">
        <f>CONCATENATE(Tabla3[[#This Row],[ID]],"_",Tabla3[[#This Row],[Nombre Caso de uso]])</f>
        <v>CU-DEV-006_Desplegar artefactos aprobados</v>
      </c>
    </row>
    <row r="98" spans="1:12" x14ac:dyDescent="0.25">
      <c r="A98" s="4" t="s">
        <v>543</v>
      </c>
      <c r="B98" s="5" t="s">
        <v>807</v>
      </c>
      <c r="C98" s="5" t="s">
        <v>319</v>
      </c>
      <c r="D98" s="5" t="s">
        <v>320</v>
      </c>
      <c r="E98" s="5" t="s">
        <v>980</v>
      </c>
      <c r="F98" s="5" t="s">
        <v>285</v>
      </c>
      <c r="G98" s="5" t="s">
        <v>778</v>
      </c>
      <c r="H98" s="5" t="s">
        <v>19</v>
      </c>
      <c r="I98" s="5" t="s">
        <v>321</v>
      </c>
      <c r="J98" s="5" t="s">
        <v>870</v>
      </c>
      <c r="L98" s="5" t="str">
        <f>CONCATENATE(Tabla3[[#This Row],[ID]],"_",Tabla3[[#This Row],[Nombre Caso de uso]])</f>
        <v>CU-DEV-007_Gestionar configuración por ambiente</v>
      </c>
    </row>
    <row r="99" spans="1:12" x14ac:dyDescent="0.25">
      <c r="A99" s="4" t="s">
        <v>544</v>
      </c>
      <c r="B99" s="5" t="s">
        <v>807</v>
      </c>
      <c r="C99" s="5" t="s">
        <v>322</v>
      </c>
      <c r="D99" s="5" t="s">
        <v>323</v>
      </c>
      <c r="E99" s="5" t="s">
        <v>981</v>
      </c>
      <c r="F99" s="5" t="s">
        <v>301</v>
      </c>
      <c r="G99" s="5" t="s">
        <v>778</v>
      </c>
      <c r="H99" s="5" t="s">
        <v>19</v>
      </c>
      <c r="I99" s="5" t="s">
        <v>324</v>
      </c>
      <c r="J99" s="5" t="s">
        <v>870</v>
      </c>
      <c r="L99" s="5" t="str">
        <f>CONCATENATE(Tabla3[[#This Row],[ID]],"_",Tabla3[[#This Row],[Nombre Caso de uso]])</f>
        <v>CU-DEV-008_Ejecutar rollback de despliegue</v>
      </c>
    </row>
    <row r="100" spans="1:12" x14ac:dyDescent="0.25">
      <c r="A100" s="4" t="s">
        <v>545</v>
      </c>
      <c r="B100" s="5" t="s">
        <v>811</v>
      </c>
      <c r="C100" s="5" t="s">
        <v>325</v>
      </c>
      <c r="D100" s="5" t="s">
        <v>326</v>
      </c>
      <c r="E100" s="5" t="s">
        <v>982</v>
      </c>
      <c r="F100" s="5" t="s">
        <v>301</v>
      </c>
      <c r="G100" s="5" t="s">
        <v>778</v>
      </c>
      <c r="H100" s="5" t="s">
        <v>19</v>
      </c>
      <c r="I100" s="5" t="s">
        <v>327</v>
      </c>
      <c r="J100" s="5" t="s">
        <v>881</v>
      </c>
      <c r="L100" s="5" t="str">
        <f>CONCATENATE(Tabla3[[#This Row],[ID]],"_",Tabla3[[#This Row],[Nombre Caso de uso]])</f>
        <v>CU-DEV-009_Provisionar infraestructura reproducible mediante IaC</v>
      </c>
    </row>
    <row r="101" spans="1:12" x14ac:dyDescent="0.25">
      <c r="A101" s="4" t="s">
        <v>546</v>
      </c>
      <c r="B101" s="5" t="s">
        <v>807</v>
      </c>
      <c r="C101" s="5" t="s">
        <v>328</v>
      </c>
      <c r="D101" s="5" t="s">
        <v>329</v>
      </c>
      <c r="E101" s="5" t="s">
        <v>984</v>
      </c>
      <c r="F101" s="5" t="s">
        <v>308</v>
      </c>
      <c r="G101" s="5" t="s">
        <v>778</v>
      </c>
      <c r="H101" s="5" t="s">
        <v>19</v>
      </c>
      <c r="I101" s="5" t="s">
        <v>330</v>
      </c>
      <c r="J101" s="5" t="s">
        <v>870</v>
      </c>
      <c r="L101" s="5" t="str">
        <f>CONCATENATE(Tabla3[[#This Row],[ID]],"_",Tabla3[[#This Row],[Nombre Caso de uso]])</f>
        <v>CU-DEV-010_Mantener trazabilidad de despliegues</v>
      </c>
    </row>
    <row r="102" spans="1:12" x14ac:dyDescent="0.25">
      <c r="A102" s="4" t="s">
        <v>547</v>
      </c>
      <c r="B102" s="5" t="s">
        <v>812</v>
      </c>
      <c r="C102" s="5" t="s">
        <v>331</v>
      </c>
      <c r="D102" s="5" t="s">
        <v>332</v>
      </c>
      <c r="E102" s="5" t="s">
        <v>985</v>
      </c>
      <c r="F102" s="5" t="s">
        <v>266</v>
      </c>
      <c r="G102" s="5" t="s">
        <v>778</v>
      </c>
      <c r="H102" s="5" t="s">
        <v>19</v>
      </c>
      <c r="I102" s="5" t="s">
        <v>333</v>
      </c>
      <c r="J102" s="5" t="s">
        <v>881</v>
      </c>
      <c r="L102" s="5" t="str">
        <f>CONCATENATE(Tabla3[[#This Row],[ID]],"_",Tabla3[[#This Row],[Nombre Caso de uso]])</f>
        <v>CU-OBS-001_Centralizar logs, métricas y alertas</v>
      </c>
    </row>
    <row r="103" spans="1:12" x14ac:dyDescent="0.25">
      <c r="A103" s="4" t="s">
        <v>548</v>
      </c>
      <c r="B103" s="5" t="s">
        <v>812</v>
      </c>
      <c r="C103" s="5" t="s">
        <v>334</v>
      </c>
      <c r="D103" s="5" t="s">
        <v>335</v>
      </c>
      <c r="E103" s="5" t="s">
        <v>987</v>
      </c>
      <c r="F103" s="5" t="s">
        <v>266</v>
      </c>
      <c r="G103" s="5" t="s">
        <v>778</v>
      </c>
      <c r="H103" s="5" t="s">
        <v>19</v>
      </c>
      <c r="I103" s="5" t="s">
        <v>274</v>
      </c>
      <c r="J103" s="5" t="s">
        <v>881</v>
      </c>
      <c r="L103" s="5" t="str">
        <f>CONCATENATE(Tabla3[[#This Row],[ID]],"_",Tabla3[[#This Row],[Nombre Caso de uso]])</f>
        <v>CU-OBS-002_Correlacionar errores y operaciones críticas</v>
      </c>
    </row>
    <row r="104" spans="1:12" x14ac:dyDescent="0.25">
      <c r="A104" s="4" t="s">
        <v>549</v>
      </c>
      <c r="B104" s="5" t="s">
        <v>338</v>
      </c>
      <c r="C104" s="5" t="s">
        <v>336</v>
      </c>
      <c r="D104" s="5" t="s">
        <v>337</v>
      </c>
      <c r="E104" s="5" t="s">
        <v>989</v>
      </c>
      <c r="F104" s="5" t="s">
        <v>338</v>
      </c>
      <c r="G104" s="5" t="s">
        <v>778</v>
      </c>
      <c r="H104" s="5" t="s">
        <v>19</v>
      </c>
      <c r="I104" s="5" t="s">
        <v>339</v>
      </c>
      <c r="J104" s="5" t="s">
        <v>870</v>
      </c>
      <c r="L104" s="5" t="str">
        <f>CONCATENATE(Tabla3[[#This Row],[ID]],"_",Tabla3[[#This Row],[Nombre Caso de uso]])</f>
        <v>CU-DATA-001_Separar analítica de operación transaccional</v>
      </c>
    </row>
    <row r="105" spans="1:12" x14ac:dyDescent="0.25">
      <c r="A105" s="4" t="s">
        <v>550</v>
      </c>
      <c r="B105" s="5" t="s">
        <v>338</v>
      </c>
      <c r="C105" s="5" t="s">
        <v>340</v>
      </c>
      <c r="D105" s="5" t="s">
        <v>341</v>
      </c>
      <c r="E105" s="5" t="s">
        <v>990</v>
      </c>
      <c r="F105" s="5" t="s">
        <v>338</v>
      </c>
      <c r="G105" s="5" t="s">
        <v>782</v>
      </c>
      <c r="H105" s="5" t="s">
        <v>19</v>
      </c>
      <c r="I105" s="5" t="s">
        <v>342</v>
      </c>
      <c r="J105" s="5" t="s">
        <v>870</v>
      </c>
      <c r="L105" s="5" t="str">
        <f>CONCATENATE(Tabla3[[#This Row],[ID]],"_",Tabla3[[#This Row],[Nombre Caso de uso]])</f>
        <v>CU-DATA-002_Construir históricos y analítica en BigQuery cuando se justifique</v>
      </c>
    </row>
    <row r="106" spans="1:12" x14ac:dyDescent="0.25">
      <c r="A106" s="4" t="s">
        <v>551</v>
      </c>
      <c r="B106" s="5" t="s">
        <v>813</v>
      </c>
      <c r="C106" s="5" t="s">
        <v>343</v>
      </c>
      <c r="D106" s="5" t="s">
        <v>344</v>
      </c>
      <c r="E106" s="5" t="s">
        <v>991</v>
      </c>
      <c r="F106" s="5" t="s">
        <v>345</v>
      </c>
      <c r="G106" s="5" t="s">
        <v>778</v>
      </c>
      <c r="H106" s="5" t="s">
        <v>19</v>
      </c>
      <c r="I106" s="5" t="s">
        <v>346</v>
      </c>
      <c r="J106" s="5" t="s">
        <v>870</v>
      </c>
      <c r="L106" s="5" t="str">
        <f>CONCATENATE(Tabla3[[#This Row],[ID]],"_",Tabla3[[#This Row],[Nombre Caso de uso]])</f>
        <v>CU-ARCH-001_Coordinar pedido empresarial único</v>
      </c>
    </row>
    <row r="107" spans="1:12" x14ac:dyDescent="0.25">
      <c r="A107" s="4" t="s">
        <v>552</v>
      </c>
      <c r="B107" s="5" t="s">
        <v>814</v>
      </c>
      <c r="C107" s="5" t="s">
        <v>347</v>
      </c>
      <c r="D107" s="5" t="s">
        <v>119</v>
      </c>
      <c r="E107" s="5" t="s">
        <v>908</v>
      </c>
      <c r="F107" s="5" t="s">
        <v>120</v>
      </c>
      <c r="G107" s="5" t="s">
        <v>778</v>
      </c>
      <c r="H107" s="5" t="s">
        <v>19</v>
      </c>
      <c r="I107" s="5" t="s">
        <v>348</v>
      </c>
      <c r="J107" s="5" t="s">
        <v>870</v>
      </c>
      <c r="L107" s="5" t="str">
        <f>CONCATENATE(Tabla3[[#This Row],[ID]],"_",Tabla3[[#This Row],[Nombre Caso de uso]])</f>
        <v>CU-ARCH-002_Mantener inventario como fuente única de verdad</v>
      </c>
    </row>
    <row r="108" spans="1:12" x14ac:dyDescent="0.25">
      <c r="A108" s="4" t="s">
        <v>553</v>
      </c>
      <c r="B108" s="5" t="s">
        <v>815</v>
      </c>
      <c r="C108" s="5" t="s">
        <v>349</v>
      </c>
      <c r="D108" s="5" t="s">
        <v>350</v>
      </c>
      <c r="E108" s="5" t="s">
        <v>992</v>
      </c>
      <c r="F108" s="5" t="s">
        <v>351</v>
      </c>
      <c r="G108" s="5" t="s">
        <v>778</v>
      </c>
      <c r="H108" s="5" t="s">
        <v>19</v>
      </c>
      <c r="I108" s="5" t="s">
        <v>352</v>
      </c>
      <c r="J108" s="5" t="s">
        <v>870</v>
      </c>
      <c r="L108" s="5" t="str">
        <f>CONCATENATE(Tabla3[[#This Row],[ID]],"_",Tabla3[[#This Row],[Nombre Caso de uso]])</f>
        <v>CU-ARCH-003_Ejecutar sincronización síncrona mediante REST/JSON</v>
      </c>
    </row>
    <row r="109" spans="1:12" x14ac:dyDescent="0.25">
      <c r="A109" s="4" t="s">
        <v>554</v>
      </c>
      <c r="B109" s="5" t="s">
        <v>815</v>
      </c>
      <c r="C109" s="5" t="s">
        <v>353</v>
      </c>
      <c r="D109" s="5" t="s">
        <v>354</v>
      </c>
      <c r="E109" s="5" t="s">
        <v>993</v>
      </c>
      <c r="F109" s="5" t="s">
        <v>351</v>
      </c>
      <c r="G109" s="5" t="s">
        <v>778</v>
      </c>
      <c r="H109" s="5" t="s">
        <v>19</v>
      </c>
      <c r="I109" s="5" t="s">
        <v>355</v>
      </c>
      <c r="J109" s="5" t="s">
        <v>870</v>
      </c>
      <c r="L109" s="5" t="str">
        <f>CONCATENATE(Tabla3[[#This Row],[ID]],"_",Tabla3[[#This Row],[Nombre Caso de uso]])</f>
        <v>CU-ARCH-004_Ejecutar sincronización asíncrona mediante Pub/Sub</v>
      </c>
    </row>
    <row r="110" spans="1:12" x14ac:dyDescent="0.25">
      <c r="A110" s="4" t="s">
        <v>555</v>
      </c>
      <c r="B110" s="5" t="s">
        <v>816</v>
      </c>
      <c r="C110" s="5" t="s">
        <v>356</v>
      </c>
      <c r="D110" s="5" t="s">
        <v>357</v>
      </c>
      <c r="E110" s="5" t="s">
        <v>994</v>
      </c>
      <c r="F110" s="5" t="s">
        <v>266</v>
      </c>
      <c r="G110" s="5" t="s">
        <v>778</v>
      </c>
      <c r="H110" s="5" t="s">
        <v>19</v>
      </c>
      <c r="I110" s="5" t="s">
        <v>358</v>
      </c>
      <c r="J110" s="5" t="s">
        <v>870</v>
      </c>
      <c r="L110" s="5" t="str">
        <f>CONCATENATE(Tabla3[[#This Row],[ID]],"_",Tabla3[[#This Row],[Nombre Caso de uso]])</f>
        <v>CU-ARCH-005_Evitar acceso directo entre E-Commerce y ERP</v>
      </c>
    </row>
    <row r="111" spans="1:12" x14ac:dyDescent="0.25">
      <c r="A111" s="4" t="s">
        <v>556</v>
      </c>
      <c r="B111" s="5" t="s">
        <v>817</v>
      </c>
      <c r="C111" s="5" t="s">
        <v>359</v>
      </c>
      <c r="D111" s="5" t="s">
        <v>360</v>
      </c>
      <c r="E111" s="5" t="s">
        <v>995</v>
      </c>
      <c r="F111" s="5" t="s">
        <v>266</v>
      </c>
      <c r="G111" s="5" t="s">
        <v>778</v>
      </c>
      <c r="H111" s="5" t="s">
        <v>19</v>
      </c>
      <c r="I111" s="5" t="s">
        <v>339</v>
      </c>
      <c r="J111" s="5" t="s">
        <v>870</v>
      </c>
      <c r="L111" s="5" t="str">
        <f>CONCATENATE(Tabla3[[#This Row],[ID]],"_",Tabla3[[#This Row],[Nombre Caso de uso]])</f>
        <v>CU-ARCH-006_Mantener separación entre transacciones y BI</v>
      </c>
    </row>
    <row r="112" spans="1:12" x14ac:dyDescent="0.25">
      <c r="A112" s="4" t="s">
        <v>557</v>
      </c>
      <c r="B112" s="5" t="s">
        <v>818</v>
      </c>
      <c r="C112" s="5" t="s">
        <v>361</v>
      </c>
      <c r="D112" s="5" t="s">
        <v>362</v>
      </c>
      <c r="E112" s="5" t="s">
        <v>996</v>
      </c>
      <c r="F112" s="5" t="s">
        <v>363</v>
      </c>
      <c r="G112" s="5" t="s">
        <v>782</v>
      </c>
      <c r="H112" s="5" t="s">
        <v>19</v>
      </c>
      <c r="I112" s="5" t="s">
        <v>364</v>
      </c>
      <c r="J112" s="5" t="s">
        <v>870</v>
      </c>
      <c r="L112" s="5" t="str">
        <f>CONCATENATE(Tabla3[[#This Row],[ID]],"_",Tabla3[[#This Row],[Nombre Caso de uso]])</f>
        <v>CU-ARCH-007_Evolucionar módulo a microservicio cuando exista justificación</v>
      </c>
    </row>
    <row r="113" spans="1:12" x14ac:dyDescent="0.25">
      <c r="A113" s="4" t="s">
        <v>558</v>
      </c>
      <c r="B113" s="5" t="s">
        <v>819</v>
      </c>
      <c r="C113" s="5" t="s">
        <v>365</v>
      </c>
      <c r="D113" s="5" t="s">
        <v>366</v>
      </c>
      <c r="E113" s="5" t="s">
        <v>997</v>
      </c>
      <c r="F113" s="5" t="s">
        <v>367</v>
      </c>
      <c r="G113" s="5" t="s">
        <v>778</v>
      </c>
      <c r="H113" s="5" t="s">
        <v>19</v>
      </c>
      <c r="I113" s="5" t="s">
        <v>368</v>
      </c>
      <c r="J113" s="5" t="s">
        <v>870</v>
      </c>
      <c r="L113" s="5" t="str">
        <f>CONCATENATE(Tabla3[[#This Row],[ID]],"_",Tabla3[[#This Row],[Nombre Caso de uso]])</f>
        <v>CU-INT-001_Publicar evento OrderCreated</v>
      </c>
    </row>
    <row r="114" spans="1:12" x14ac:dyDescent="0.25">
      <c r="A114" s="4" t="s">
        <v>559</v>
      </c>
      <c r="B114" s="5" t="s">
        <v>819</v>
      </c>
      <c r="C114" s="5" t="s">
        <v>369</v>
      </c>
      <c r="D114" s="5" t="s">
        <v>370</v>
      </c>
      <c r="E114" s="5" t="s">
        <v>998</v>
      </c>
      <c r="F114" s="5" t="s">
        <v>371</v>
      </c>
      <c r="G114" s="5" t="s">
        <v>778</v>
      </c>
      <c r="H114" s="5" t="s">
        <v>19</v>
      </c>
      <c r="I114" s="5" t="s">
        <v>372</v>
      </c>
      <c r="J114" s="5" t="s">
        <v>870</v>
      </c>
      <c r="L114" s="5" t="str">
        <f>CONCATENATE(Tabla3[[#This Row],[ID]],"_",Tabla3[[#This Row],[Nombre Caso de uso]])</f>
        <v>CU-INT-002_Publicar evento OrderPaid</v>
      </c>
    </row>
    <row r="115" spans="1:12" x14ac:dyDescent="0.25">
      <c r="A115" s="4" t="s">
        <v>560</v>
      </c>
      <c r="B115" s="5" t="s">
        <v>819</v>
      </c>
      <c r="C115" s="5" t="s">
        <v>373</v>
      </c>
      <c r="D115" s="5" t="s">
        <v>374</v>
      </c>
      <c r="E115" s="5" t="s">
        <v>999</v>
      </c>
      <c r="F115" s="5" t="s">
        <v>120</v>
      </c>
      <c r="G115" s="5" t="s">
        <v>778</v>
      </c>
      <c r="H115" s="5" t="s">
        <v>19</v>
      </c>
      <c r="I115" s="5" t="s">
        <v>375</v>
      </c>
      <c r="J115" s="5" t="s">
        <v>870</v>
      </c>
      <c r="L115" s="5" t="str">
        <f>CONCATENATE(Tabla3[[#This Row],[ID]],"_",Tabla3[[#This Row],[Nombre Caso de uso]])</f>
        <v>CU-INT-003_Publicar evento InventoryUpdated</v>
      </c>
    </row>
    <row r="116" spans="1:12" x14ac:dyDescent="0.25">
      <c r="A116" s="4" t="s">
        <v>561</v>
      </c>
      <c r="B116" s="5" t="s">
        <v>819</v>
      </c>
      <c r="C116" s="5" t="s">
        <v>376</v>
      </c>
      <c r="D116" s="5" t="s">
        <v>377</v>
      </c>
      <c r="E116" s="5" t="s">
        <v>1000</v>
      </c>
      <c r="F116" s="5" t="s">
        <v>378</v>
      </c>
      <c r="G116" s="5" t="s">
        <v>778</v>
      </c>
      <c r="H116" s="5" t="s">
        <v>19</v>
      </c>
      <c r="I116" s="5" t="s">
        <v>379</v>
      </c>
      <c r="J116" s="5" t="s">
        <v>870</v>
      </c>
      <c r="L116" s="5" t="str">
        <f>CONCATENATE(Tabla3[[#This Row],[ID]],"_",Tabla3[[#This Row],[Nombre Caso de uso]])</f>
        <v>CU-INT-004_Publicar evento InvoiceGenerated</v>
      </c>
    </row>
    <row r="117" spans="1:12" x14ac:dyDescent="0.25">
      <c r="A117" s="4" t="s">
        <v>562</v>
      </c>
      <c r="B117" s="5" t="s">
        <v>819</v>
      </c>
      <c r="C117" s="5" t="s">
        <v>380</v>
      </c>
      <c r="D117" s="5" t="s">
        <v>381</v>
      </c>
      <c r="E117" s="5" t="s">
        <v>1001</v>
      </c>
      <c r="F117" s="5" t="s">
        <v>382</v>
      </c>
      <c r="G117" s="5" t="s">
        <v>778</v>
      </c>
      <c r="H117" s="5" t="s">
        <v>19</v>
      </c>
      <c r="I117" s="5" t="s">
        <v>383</v>
      </c>
      <c r="J117" s="5" t="s">
        <v>870</v>
      </c>
      <c r="L117" s="5" t="str">
        <f>CONCATENATE(Tabla3[[#This Row],[ID]],"_",Tabla3[[#This Row],[Nombre Caso de uso]])</f>
        <v>CU-INT-005_Publicar evento OrderDispatched</v>
      </c>
    </row>
    <row r="118" spans="1:12" x14ac:dyDescent="0.25">
      <c r="A118" s="4" t="s">
        <v>563</v>
      </c>
      <c r="B118" s="5" t="s">
        <v>819</v>
      </c>
      <c r="C118" s="5" t="s">
        <v>384</v>
      </c>
      <c r="D118" s="5" t="s">
        <v>385</v>
      </c>
      <c r="E118" s="5" t="s">
        <v>1002</v>
      </c>
      <c r="F118" s="5" t="s">
        <v>382</v>
      </c>
      <c r="G118" s="5" t="s">
        <v>778</v>
      </c>
      <c r="H118" s="5" t="s">
        <v>19</v>
      </c>
      <c r="I118" s="5" t="s">
        <v>386</v>
      </c>
      <c r="J118" s="5" t="s">
        <v>870</v>
      </c>
      <c r="L118" s="5" t="str">
        <f>CONCATENATE(Tabla3[[#This Row],[ID]],"_",Tabla3[[#This Row],[Nombre Caso de uso]])</f>
        <v>CU-INT-006_Publicar evento ShipmentCreated</v>
      </c>
    </row>
    <row r="119" spans="1:12" x14ac:dyDescent="0.25">
      <c r="A119" s="4" t="s">
        <v>564</v>
      </c>
      <c r="B119" s="5" t="s">
        <v>819</v>
      </c>
      <c r="C119" s="5" t="s">
        <v>387</v>
      </c>
      <c r="D119" s="5" t="s">
        <v>388</v>
      </c>
      <c r="E119" s="5" t="s">
        <v>1003</v>
      </c>
      <c r="F119" s="5" t="s">
        <v>382</v>
      </c>
      <c r="G119" s="5" t="s">
        <v>778</v>
      </c>
      <c r="H119" s="5" t="s">
        <v>19</v>
      </c>
      <c r="I119" s="5" t="s">
        <v>389</v>
      </c>
      <c r="J119" s="5" t="s">
        <v>870</v>
      </c>
      <c r="L119" s="5" t="str">
        <f>CONCATENATE(Tabla3[[#This Row],[ID]],"_",Tabla3[[#This Row],[Nombre Caso de uso]])</f>
        <v>CU-INT-007_Publicar evento OrderDelivered</v>
      </c>
    </row>
    <row r="120" spans="1:12" x14ac:dyDescent="0.25">
      <c r="A120" s="4" t="s">
        <v>565</v>
      </c>
      <c r="B120" s="5" t="s">
        <v>819</v>
      </c>
      <c r="C120" s="5" t="s">
        <v>390</v>
      </c>
      <c r="D120" s="5" t="s">
        <v>391</v>
      </c>
      <c r="E120" s="5" t="s">
        <v>1004</v>
      </c>
      <c r="F120" s="5" t="s">
        <v>124</v>
      </c>
      <c r="G120" s="5" t="s">
        <v>782</v>
      </c>
      <c r="H120" s="5" t="s">
        <v>19</v>
      </c>
      <c r="I120" s="5" t="s">
        <v>392</v>
      </c>
      <c r="J120" s="5" t="s">
        <v>870</v>
      </c>
      <c r="L120" s="5" t="str">
        <f>CONCATENATE(Tabla3[[#This Row],[ID]],"_",Tabla3[[#This Row],[Nombre Caso de uso]])</f>
        <v>CU-INT-008_Publicar evento EmployeeCreated</v>
      </c>
    </row>
    <row r="121" spans="1:12" x14ac:dyDescent="0.25">
      <c r="A121" s="4" t="s">
        <v>566</v>
      </c>
      <c r="B121" s="5" t="s">
        <v>819</v>
      </c>
      <c r="C121" s="5" t="s">
        <v>393</v>
      </c>
      <c r="D121" s="5" t="s">
        <v>394</v>
      </c>
      <c r="E121" s="5" t="s">
        <v>1005</v>
      </c>
      <c r="F121" s="5" t="s">
        <v>395</v>
      </c>
      <c r="G121" s="5" t="s">
        <v>778</v>
      </c>
      <c r="H121" s="5" t="s">
        <v>19</v>
      </c>
      <c r="I121" s="5" t="s">
        <v>396</v>
      </c>
      <c r="J121" s="5" t="s">
        <v>870</v>
      </c>
      <c r="L121" s="5" t="str">
        <f>CONCATENATE(Tabla3[[#This Row],[ID]],"_",Tabla3[[#This Row],[Nombre Caso de uso]])</f>
        <v>CU-INT-009_Publicar evento PurchaseReceived</v>
      </c>
    </row>
    <row r="122" spans="1:12" x14ac:dyDescent="0.25">
      <c r="A122" s="4" t="s">
        <v>567</v>
      </c>
      <c r="B122" s="5" t="s">
        <v>820</v>
      </c>
      <c r="C122" s="5" t="s">
        <v>397</v>
      </c>
      <c r="D122" s="5" t="s">
        <v>398</v>
      </c>
      <c r="E122" s="5" t="s">
        <v>1006</v>
      </c>
      <c r="F122" s="5" t="s">
        <v>301</v>
      </c>
      <c r="G122" s="5" t="s">
        <v>778</v>
      </c>
      <c r="H122" s="5" t="s">
        <v>19</v>
      </c>
      <c r="I122" s="5" t="s">
        <v>399</v>
      </c>
      <c r="J122" s="5" t="s">
        <v>881</v>
      </c>
      <c r="L122" s="5" t="str">
        <f>CONCATENATE(Tabla3[[#This Row],[ID]],"_",Tabla3[[#This Row],[Nombre Caso de uso]])</f>
        <v>CU-INT-010_Versionar y documentar contratos de API</v>
      </c>
    </row>
    <row r="123" spans="1:12" x14ac:dyDescent="0.25">
      <c r="A123" s="4" t="s">
        <v>568</v>
      </c>
      <c r="B123" s="5" t="s">
        <v>821</v>
      </c>
      <c r="C123" s="5" t="s">
        <v>400</v>
      </c>
      <c r="D123" s="5" t="s">
        <v>401</v>
      </c>
      <c r="E123" s="5" t="s">
        <v>1008</v>
      </c>
      <c r="F123" s="5" t="s">
        <v>402</v>
      </c>
      <c r="G123" s="5" t="s">
        <v>778</v>
      </c>
      <c r="H123" s="5" t="s">
        <v>19</v>
      </c>
      <c r="I123" s="5" t="s">
        <v>403</v>
      </c>
      <c r="J123" s="5" t="s">
        <v>881</v>
      </c>
      <c r="L123" s="5" t="str">
        <f>CONCATENATE(Tabla3[[#This Row],[ID]],"_",Tabla3[[#This Row],[Nombre Caso de uso]])</f>
        <v>CU-INT-011_Garantizar idempotencia de consumidores de eventos</v>
      </c>
    </row>
    <row r="124" spans="1:12" x14ac:dyDescent="0.25">
      <c r="A124" s="4" t="s">
        <v>569</v>
      </c>
      <c r="B124" s="5" t="s">
        <v>821</v>
      </c>
      <c r="C124" s="5" t="s">
        <v>404</v>
      </c>
      <c r="D124" s="5" t="s">
        <v>405</v>
      </c>
      <c r="E124" s="5" t="s">
        <v>1009</v>
      </c>
      <c r="F124" s="5" t="s">
        <v>402</v>
      </c>
      <c r="G124" s="5" t="s">
        <v>778</v>
      </c>
      <c r="H124" s="5" t="s">
        <v>19</v>
      </c>
      <c r="I124" s="5" t="s">
        <v>406</v>
      </c>
      <c r="J124" s="5" t="s">
        <v>881</v>
      </c>
      <c r="L124" s="5" t="str">
        <f>CONCATENATE(Tabla3[[#This Row],[ID]],"_",Tabla3[[#This Row],[Nombre Caso de uso]])</f>
        <v>CU-INT-012_Gestionar reintentos y fallos de eventos</v>
      </c>
    </row>
    <row r="125" spans="1:12" x14ac:dyDescent="0.25">
      <c r="A125" s="4" t="s">
        <v>570</v>
      </c>
      <c r="B125" s="5" t="s">
        <v>821</v>
      </c>
      <c r="C125" s="5" t="s">
        <v>407</v>
      </c>
      <c r="D125" s="5" t="s">
        <v>408</v>
      </c>
      <c r="E125" s="5" t="s">
        <v>1010</v>
      </c>
      <c r="F125" s="5" t="s">
        <v>301</v>
      </c>
      <c r="G125" s="5" t="s">
        <v>778</v>
      </c>
      <c r="H125" s="5" t="s">
        <v>19</v>
      </c>
      <c r="I125" s="5" t="s">
        <v>409</v>
      </c>
      <c r="J125" s="5" t="s">
        <v>881</v>
      </c>
      <c r="L125" s="5" t="str">
        <f>CONCATENATE(Tabla3[[#This Row],[ID]],"_",Tabla3[[#This Row],[Nombre Caso de uso]])</f>
        <v>CU-INT-013_Versionar contratos de eventos</v>
      </c>
    </row>
    <row r="126" spans="1:12" x14ac:dyDescent="0.25">
      <c r="A126" s="4" t="s">
        <v>571</v>
      </c>
      <c r="B126" s="5" t="s">
        <v>822</v>
      </c>
      <c r="C126" s="5" t="s">
        <v>410</v>
      </c>
      <c r="D126" s="5" t="s">
        <v>411</v>
      </c>
      <c r="E126" s="5" t="s">
        <v>1011</v>
      </c>
      <c r="F126" s="5" t="s">
        <v>266</v>
      </c>
      <c r="G126" s="5" t="s">
        <v>778</v>
      </c>
      <c r="H126" s="5" t="s">
        <v>19</v>
      </c>
      <c r="I126" s="5" t="s">
        <v>412</v>
      </c>
      <c r="J126" s="5" t="s">
        <v>881</v>
      </c>
      <c r="L126" s="5" t="str">
        <f>CONCATENATE(Tabla3[[#This Row],[ID]],"_",Tabla3[[#This Row],[Nombre Caso de uso]])</f>
        <v>CU-INT-014_Gestionar correlación de operaciones distribuidas</v>
      </c>
    </row>
    <row r="127" spans="1:12" x14ac:dyDescent="0.25">
      <c r="A127" s="4" t="s">
        <v>572</v>
      </c>
      <c r="B127" s="5" t="s">
        <v>823</v>
      </c>
      <c r="C127" s="5" t="s">
        <v>413</v>
      </c>
      <c r="D127" s="5" t="s">
        <v>414</v>
      </c>
      <c r="E127" s="5" t="s">
        <v>1012</v>
      </c>
      <c r="F127" s="5" t="s">
        <v>266</v>
      </c>
      <c r="G127" s="5" t="s">
        <v>782</v>
      </c>
      <c r="H127" s="5" t="s">
        <v>19</v>
      </c>
      <c r="I127" s="5" t="s">
        <v>415</v>
      </c>
      <c r="J127" s="5" t="s">
        <v>881</v>
      </c>
      <c r="L127" s="5" t="str">
        <f>CONCATENATE(Tabla3[[#This Row],[ID]],"_",Tabla3[[#This Row],[Nombre Caso de uso]])</f>
        <v>CU-GCP-001_Exponer entrada pública mediante Cloud Load Balancing cuando aplique</v>
      </c>
    </row>
    <row r="128" spans="1:12" x14ac:dyDescent="0.25">
      <c r="A128" s="4" t="s">
        <v>573</v>
      </c>
      <c r="B128" s="5" t="s">
        <v>824</v>
      </c>
      <c r="C128" s="5" t="s">
        <v>416</v>
      </c>
      <c r="D128" s="5" t="s">
        <v>417</v>
      </c>
      <c r="E128" s="5" t="s">
        <v>1014</v>
      </c>
      <c r="F128" s="5" t="s">
        <v>266</v>
      </c>
      <c r="G128" s="5" t="s">
        <v>778</v>
      </c>
      <c r="H128" s="5" t="s">
        <v>19</v>
      </c>
      <c r="I128" s="5" t="s">
        <v>418</v>
      </c>
      <c r="J128" s="5" t="s">
        <v>881</v>
      </c>
      <c r="L128" s="5" t="str">
        <f>CONCATENATE(Tabla3[[#This Row],[ID]],"_",Tabla3[[#This Row],[Nombre Caso de uso]])</f>
        <v>CU-GCP-002_Exponer APIs mediante API Gateway</v>
      </c>
    </row>
    <row r="129" spans="1:12" x14ac:dyDescent="0.25">
      <c r="A129" s="4" t="s">
        <v>574</v>
      </c>
      <c r="B129" s="5" t="s">
        <v>825</v>
      </c>
      <c r="C129" s="5" t="s">
        <v>419</v>
      </c>
      <c r="D129" s="5" t="s">
        <v>420</v>
      </c>
      <c r="E129" s="5" t="s">
        <v>1015</v>
      </c>
      <c r="F129" s="5" t="s">
        <v>266</v>
      </c>
      <c r="G129" s="5" t="s">
        <v>778</v>
      </c>
      <c r="H129" s="5" t="s">
        <v>19</v>
      </c>
      <c r="I129" s="5" t="s">
        <v>421</v>
      </c>
      <c r="J129" s="5" t="s">
        <v>881</v>
      </c>
      <c r="L129" s="5" t="str">
        <f>CONCATENATE(Tabla3[[#This Row],[ID]],"_",Tabla3[[#This Row],[Nombre Caso de uso]])</f>
        <v>CU-GCP-003_Ejecutar servicios en Cloud Run</v>
      </c>
    </row>
    <row r="130" spans="1:12" x14ac:dyDescent="0.25">
      <c r="A130" s="4" t="s">
        <v>575</v>
      </c>
      <c r="B130" s="5" t="s">
        <v>826</v>
      </c>
      <c r="C130" s="5" t="s">
        <v>422</v>
      </c>
      <c r="D130" s="5" t="s">
        <v>423</v>
      </c>
      <c r="E130" s="5" t="s">
        <v>1016</v>
      </c>
      <c r="F130" s="5" t="s">
        <v>266</v>
      </c>
      <c r="G130" s="5" t="s">
        <v>778</v>
      </c>
      <c r="H130" s="5" t="s">
        <v>19</v>
      </c>
      <c r="I130" s="5" t="s">
        <v>424</v>
      </c>
      <c r="J130" s="5" t="s">
        <v>881</v>
      </c>
      <c r="L130" s="5" t="str">
        <f>CONCATENATE(Tabla3[[#This Row],[ID]],"_",Tabla3[[#This Row],[Nombre Caso de uso]])</f>
        <v>CU-GCP-004_Transportar eventos mediante Pub/Sub</v>
      </c>
    </row>
    <row r="131" spans="1:12" x14ac:dyDescent="0.25">
      <c r="A131" s="4" t="s">
        <v>576</v>
      </c>
      <c r="B131" s="5" t="s">
        <v>827</v>
      </c>
      <c r="C131" s="5" t="s">
        <v>425</v>
      </c>
      <c r="D131" s="5" t="s">
        <v>426</v>
      </c>
      <c r="E131" s="5" t="s">
        <v>1017</v>
      </c>
      <c r="F131" s="5" t="s">
        <v>266</v>
      </c>
      <c r="G131" s="5" t="s">
        <v>778</v>
      </c>
      <c r="H131" s="5" t="s">
        <v>19</v>
      </c>
      <c r="I131" s="5" t="s">
        <v>427</v>
      </c>
      <c r="J131" s="5" t="s">
        <v>881</v>
      </c>
      <c r="L131" s="5" t="str">
        <f>CONCATENATE(Tabla3[[#This Row],[ID]],"_",Tabla3[[#This Row],[Nombre Caso de uso]])</f>
        <v>CU-GCP-005_Persistir transacciones en Cloud SQL PostgreSQL</v>
      </c>
    </row>
    <row r="132" spans="1:12" x14ac:dyDescent="0.25">
      <c r="A132" s="4" t="s">
        <v>577</v>
      </c>
      <c r="B132" s="5" t="s">
        <v>828</v>
      </c>
      <c r="C132" s="5" t="s">
        <v>428</v>
      </c>
      <c r="D132" s="5" t="s">
        <v>429</v>
      </c>
      <c r="E132" s="5" t="s">
        <v>1018</v>
      </c>
      <c r="F132" s="5" t="s">
        <v>266</v>
      </c>
      <c r="G132" s="5" t="s">
        <v>778</v>
      </c>
      <c r="H132" s="5" t="s">
        <v>19</v>
      </c>
      <c r="I132" s="5" t="s">
        <v>430</v>
      </c>
      <c r="J132" s="5" t="s">
        <v>881</v>
      </c>
      <c r="L132" s="5" t="str">
        <f>CONCATENATE(Tabla3[[#This Row],[ID]],"_",Tabla3[[#This Row],[Nombre Caso de uso]])</f>
        <v>CU-GCP-006_Almacenar imágenes y documentos en Cloud Storage</v>
      </c>
    </row>
    <row r="133" spans="1:12" x14ac:dyDescent="0.25">
      <c r="A133" s="4" t="s">
        <v>578</v>
      </c>
      <c r="B133" s="5" t="s">
        <v>829</v>
      </c>
      <c r="C133" s="5" t="s">
        <v>431</v>
      </c>
      <c r="D133" s="5" t="s">
        <v>432</v>
      </c>
      <c r="E133" s="5" t="s">
        <v>1019</v>
      </c>
      <c r="F133" s="5" t="s">
        <v>266</v>
      </c>
      <c r="G133" s="5" t="s">
        <v>782</v>
      </c>
      <c r="H133" s="5" t="s">
        <v>19</v>
      </c>
      <c r="I133" s="5" t="s">
        <v>433</v>
      </c>
      <c r="J133" s="5" t="s">
        <v>881</v>
      </c>
      <c r="L133" s="5" t="str">
        <f>CONCATENATE(Tabla3[[#This Row],[ID]],"_",Tabla3[[#This Row],[Nombre Caso de uso]])</f>
        <v>CU-GCP-007_Distribuir contenido estático mediante Cloud CDN cuando aplique</v>
      </c>
    </row>
    <row r="134" spans="1:12" x14ac:dyDescent="0.25">
      <c r="A134" s="4" t="s">
        <v>579</v>
      </c>
      <c r="B134" s="5" t="s">
        <v>830</v>
      </c>
      <c r="C134" s="5" t="s">
        <v>434</v>
      </c>
      <c r="D134" s="5" t="s">
        <v>435</v>
      </c>
      <c r="E134" s="5" t="s">
        <v>1020</v>
      </c>
      <c r="F134" s="5" t="s">
        <v>266</v>
      </c>
      <c r="G134" s="5" t="s">
        <v>778</v>
      </c>
      <c r="H134" s="5" t="s">
        <v>19</v>
      </c>
      <c r="I134" s="5" t="s">
        <v>436</v>
      </c>
      <c r="J134" s="5" t="s">
        <v>881</v>
      </c>
      <c r="L134" s="5" t="str">
        <f>CONCATENATE(Tabla3[[#This Row],[ID]],"_",Tabla3[[#This Row],[Nombre Caso de uso]])</f>
        <v>CU-GCP-008_Gestionar secretos en Secret Manager</v>
      </c>
    </row>
    <row r="135" spans="1:12" x14ac:dyDescent="0.25">
      <c r="A135" s="4" t="s">
        <v>580</v>
      </c>
      <c r="B135" s="5" t="s">
        <v>831</v>
      </c>
      <c r="C135" s="5" t="s">
        <v>437</v>
      </c>
      <c r="D135" s="5" t="s">
        <v>438</v>
      </c>
      <c r="E135" s="5" t="s">
        <v>1021</v>
      </c>
      <c r="F135" s="5" t="s">
        <v>266</v>
      </c>
      <c r="G135" s="5" t="s">
        <v>778</v>
      </c>
      <c r="H135" s="5" t="s">
        <v>19</v>
      </c>
      <c r="I135" s="5" t="s">
        <v>439</v>
      </c>
      <c r="J135" s="5" t="s">
        <v>881</v>
      </c>
      <c r="L135" s="5" t="str">
        <f>CONCATENATE(Tabla3[[#This Row],[ID]],"_",Tabla3[[#This Row],[Nombre Caso de uso]])</f>
        <v>CU-GCP-009_Centralizar observabilidad con Logging y Monitoring</v>
      </c>
    </row>
    <row r="136" spans="1:12" x14ac:dyDescent="0.25">
      <c r="A136" s="4" t="s">
        <v>581</v>
      </c>
      <c r="B136" s="5" t="s">
        <v>832</v>
      </c>
      <c r="C136" s="5" t="s">
        <v>440</v>
      </c>
      <c r="D136" s="5" t="s">
        <v>441</v>
      </c>
      <c r="E136" s="5" t="s">
        <v>1022</v>
      </c>
      <c r="F136" s="5" t="s">
        <v>266</v>
      </c>
      <c r="G136" s="5" t="s">
        <v>782</v>
      </c>
      <c r="H136" s="5" t="s">
        <v>19</v>
      </c>
      <c r="I136" s="5" t="s">
        <v>442</v>
      </c>
      <c r="J136" s="5" t="s">
        <v>881</v>
      </c>
      <c r="L136" s="5" t="str">
        <f>CONCATENATE(Tabla3[[#This Row],[ID]],"_",Tabla3[[#This Row],[Nombre Caso de uso]])</f>
        <v>CU-GCP-010_Ejecutar procesos programados y asíncronos</v>
      </c>
    </row>
    <row r="137" spans="1:12" x14ac:dyDescent="0.25">
      <c r="A137" s="4" t="s">
        <v>582</v>
      </c>
      <c r="B137" s="5" t="s">
        <v>833</v>
      </c>
      <c r="C137" s="5" t="s">
        <v>443</v>
      </c>
      <c r="D137" s="5" t="s">
        <v>444</v>
      </c>
      <c r="E137" s="5" t="s">
        <v>1023</v>
      </c>
      <c r="F137" s="5" t="s">
        <v>338</v>
      </c>
      <c r="G137" s="5" t="s">
        <v>782</v>
      </c>
      <c r="H137" s="5" t="s">
        <v>19</v>
      </c>
      <c r="I137" s="5" t="s">
        <v>342</v>
      </c>
      <c r="J137" s="5" t="s">
        <v>881</v>
      </c>
      <c r="L137" s="5" t="str">
        <f>CONCATENATE(Tabla3[[#This Row],[ID]],"_",Tabla3[[#This Row],[Nombre Caso de uso]])</f>
        <v>CU-GCP-011_Construir analítica en BigQuery cuando se justifique</v>
      </c>
    </row>
    <row r="138" spans="1:12" x14ac:dyDescent="0.25">
      <c r="A138" s="4" t="s">
        <v>583</v>
      </c>
      <c r="B138" s="5" t="s">
        <v>834</v>
      </c>
      <c r="C138" s="5" t="s">
        <v>590</v>
      </c>
      <c r="D138" s="5" t="s">
        <v>591</v>
      </c>
      <c r="E138" s="5" t="s">
        <v>1034</v>
      </c>
      <c r="F138" s="5" t="s">
        <v>592</v>
      </c>
      <c r="G138" s="5" t="s">
        <v>778</v>
      </c>
      <c r="H138" s="5" t="s">
        <v>19</v>
      </c>
      <c r="I138" s="5" t="s">
        <v>835</v>
      </c>
      <c r="J138" s="5" t="s">
        <v>705</v>
      </c>
      <c r="L138" s="5" t="str">
        <f>CONCATENATE(Tabla3[[#This Row],[ID]],"_",Tabla3[[#This Row],[Nombre Caso de uso]])</f>
        <v>CU-EM-001_Enrolar emprendedor mediante Gerente de Zona</v>
      </c>
    </row>
    <row r="139" spans="1:12" x14ac:dyDescent="0.25">
      <c r="A139" s="4" t="s">
        <v>584</v>
      </c>
      <c r="B139" s="5" t="s">
        <v>834</v>
      </c>
      <c r="C139" s="5" t="s">
        <v>593</v>
      </c>
      <c r="D139" s="5" t="s">
        <v>594</v>
      </c>
      <c r="E139" s="5" t="s">
        <v>1036</v>
      </c>
      <c r="F139" s="5" t="s">
        <v>595</v>
      </c>
      <c r="G139" s="5" t="s">
        <v>778</v>
      </c>
      <c r="H139" s="5" t="s">
        <v>19</v>
      </c>
      <c r="I139" s="5" t="s">
        <v>836</v>
      </c>
      <c r="J139" s="5" t="s">
        <v>705</v>
      </c>
      <c r="L139" s="5" t="str">
        <f>CONCATENATE(Tabla3[[#This Row],[ID]],"_",Tabla3[[#This Row],[Nombre Caso de uso]])</f>
        <v>CU-EM-002_Gestionar información base y ciclo de vida del emprendedor</v>
      </c>
    </row>
    <row r="140" spans="1:12" x14ac:dyDescent="0.25">
      <c r="A140" s="4" t="s">
        <v>585</v>
      </c>
      <c r="B140" s="5" t="s">
        <v>834</v>
      </c>
      <c r="C140" s="5" t="s">
        <v>596</v>
      </c>
      <c r="D140" s="5" t="s">
        <v>597</v>
      </c>
      <c r="E140" s="5" t="s">
        <v>1037</v>
      </c>
      <c r="F140" s="5" t="s">
        <v>592</v>
      </c>
      <c r="G140" s="5" t="s">
        <v>778</v>
      </c>
      <c r="H140" s="5" t="s">
        <v>19</v>
      </c>
      <c r="I140" s="5" t="s">
        <v>837</v>
      </c>
      <c r="J140" s="5" t="s">
        <v>705</v>
      </c>
      <c r="L140" s="5" t="str">
        <f>CONCATENATE(Tabla3[[#This Row],[ID]],"_",Tabla3[[#This Row],[Nombre Caso de uso]])</f>
        <v>CU-EM-003_Cargar y gestionar paquete documental de validación</v>
      </c>
    </row>
    <row r="141" spans="1:12" x14ac:dyDescent="0.25">
      <c r="A141" s="4" t="s">
        <v>586</v>
      </c>
      <c r="B141" s="5" t="s">
        <v>834</v>
      </c>
      <c r="C141" s="5" t="s">
        <v>598</v>
      </c>
      <c r="D141" s="5" t="s">
        <v>599</v>
      </c>
      <c r="E141" s="5" t="s">
        <v>1038</v>
      </c>
      <c r="F141" s="5" t="s">
        <v>595</v>
      </c>
      <c r="G141" s="5" t="s">
        <v>778</v>
      </c>
      <c r="H141" s="5" t="s">
        <v>19</v>
      </c>
      <c r="I141" s="5" t="s">
        <v>757</v>
      </c>
      <c r="J141" s="5" t="s">
        <v>705</v>
      </c>
      <c r="L141" s="5" t="str">
        <f>CONCATENATE(Tabla3[[#This Row],[ID]],"_",Tabla3[[#This Row],[Nombre Caso de uso]])</f>
        <v>CU-EM-004_Validar y activar emprendedor</v>
      </c>
    </row>
    <row r="142" spans="1:12" x14ac:dyDescent="0.25">
      <c r="A142" s="4" t="s">
        <v>706</v>
      </c>
      <c r="B142" s="5" t="s">
        <v>834</v>
      </c>
      <c r="C142" s="5" t="s">
        <v>600</v>
      </c>
      <c r="D142" s="5" t="s">
        <v>601</v>
      </c>
      <c r="E142" s="5" t="s">
        <v>1039</v>
      </c>
      <c r="F142" s="5" t="s">
        <v>602</v>
      </c>
      <c r="G142" s="5" t="s">
        <v>778</v>
      </c>
      <c r="H142" s="5" t="s">
        <v>19</v>
      </c>
      <c r="I142" s="5" t="s">
        <v>758</v>
      </c>
      <c r="J142" s="5" t="s">
        <v>705</v>
      </c>
      <c r="L142" s="5" t="str">
        <f>CONCATENATE(Tabla3[[#This Row],[ID]],"_",Tabla3[[#This Row],[Nombre Caso de uso]])</f>
        <v>CU-EM-005_Configurar medio de envío del emprendedor</v>
      </c>
    </row>
    <row r="143" spans="1:12" x14ac:dyDescent="0.25">
      <c r="A143" s="4" t="s">
        <v>707</v>
      </c>
      <c r="B143" s="5" t="s">
        <v>834</v>
      </c>
      <c r="C143" s="5" t="s">
        <v>603</v>
      </c>
      <c r="D143" s="5" t="s">
        <v>604</v>
      </c>
      <c r="E143" s="5" t="s">
        <v>1040</v>
      </c>
      <c r="F143" s="5" t="s">
        <v>602</v>
      </c>
      <c r="G143" s="5" t="s">
        <v>778</v>
      </c>
      <c r="H143" s="5" t="s">
        <v>19</v>
      </c>
      <c r="I143" s="5" t="s">
        <v>759</v>
      </c>
      <c r="J143" s="5" t="s">
        <v>705</v>
      </c>
      <c r="L143" s="5" t="str">
        <f>CONCATENATE(Tabla3[[#This Row],[ID]],"_",Tabla3[[#This Row],[Nombre Caso de uso]])</f>
        <v>CU-EM-006_Configurar medio de pago electrónico para dispersión</v>
      </c>
    </row>
    <row r="144" spans="1:12" x14ac:dyDescent="0.25">
      <c r="A144" s="4" t="s">
        <v>708</v>
      </c>
      <c r="B144" s="5" t="s">
        <v>834</v>
      </c>
      <c r="C144" s="5" t="s">
        <v>605</v>
      </c>
      <c r="D144" s="5" t="s">
        <v>606</v>
      </c>
      <c r="E144" s="5" t="s">
        <v>1041</v>
      </c>
      <c r="F144" s="5" t="s">
        <v>445</v>
      </c>
      <c r="G144" s="5" t="s">
        <v>778</v>
      </c>
      <c r="H144" s="5" t="s">
        <v>19</v>
      </c>
      <c r="I144" s="5" t="s">
        <v>760</v>
      </c>
      <c r="J144" s="5" t="s">
        <v>705</v>
      </c>
      <c r="L144" s="5" t="str">
        <f>CONCATENATE(Tabla3[[#This Row],[ID]],"_",Tabla3[[#This Row],[Nombre Caso de uso]])</f>
        <v>CU-EM-007_Crear producto del emprendedor</v>
      </c>
    </row>
    <row r="145" spans="1:12" x14ac:dyDescent="0.25">
      <c r="A145" s="4" t="s">
        <v>709</v>
      </c>
      <c r="B145" s="5" t="s">
        <v>834</v>
      </c>
      <c r="C145" s="5" t="s">
        <v>607</v>
      </c>
      <c r="D145" s="5" t="s">
        <v>608</v>
      </c>
      <c r="E145" s="5" t="s">
        <v>1042</v>
      </c>
      <c r="F145" s="5" t="s">
        <v>445</v>
      </c>
      <c r="G145" s="5" t="s">
        <v>778</v>
      </c>
      <c r="H145" s="5" t="s">
        <v>19</v>
      </c>
      <c r="I145" s="5" t="s">
        <v>761</v>
      </c>
      <c r="J145" s="5" t="s">
        <v>705</v>
      </c>
      <c r="L145" s="5" t="str">
        <f>CONCATENATE(Tabla3[[#This Row],[ID]],"_",Tabla3[[#This Row],[Nombre Caso de uso]])</f>
        <v>CU-EM-008_Consultar y gestionar catálogo propio por estados</v>
      </c>
    </row>
    <row r="146" spans="1:12" x14ac:dyDescent="0.25">
      <c r="A146" s="4" t="s">
        <v>710</v>
      </c>
      <c r="B146" s="5" t="s">
        <v>834</v>
      </c>
      <c r="C146" s="5" t="s">
        <v>609</v>
      </c>
      <c r="D146" s="5" t="s">
        <v>610</v>
      </c>
      <c r="E146" s="5" t="s">
        <v>1043</v>
      </c>
      <c r="F146" s="5" t="s">
        <v>611</v>
      </c>
      <c r="G146" s="5" t="s">
        <v>778</v>
      </c>
      <c r="H146" s="5" t="s">
        <v>19</v>
      </c>
      <c r="I146" s="5" t="s">
        <v>762</v>
      </c>
      <c r="J146" s="5" t="s">
        <v>705</v>
      </c>
      <c r="L146" s="5" t="str">
        <f>CONCATENATE(Tabla3[[#This Row],[ID]],"_",Tabla3[[#This Row],[Nombre Caso de uso]])</f>
        <v>CU-EM-009_Validar requisitos multimedia del producto</v>
      </c>
    </row>
    <row r="147" spans="1:12" x14ac:dyDescent="0.25">
      <c r="A147" s="4" t="s">
        <v>711</v>
      </c>
      <c r="B147" s="5" t="s">
        <v>834</v>
      </c>
      <c r="C147" s="5" t="s">
        <v>612</v>
      </c>
      <c r="D147" s="5" t="s">
        <v>613</v>
      </c>
      <c r="E147" s="5" t="s">
        <v>1044</v>
      </c>
      <c r="F147" s="5" t="s">
        <v>445</v>
      </c>
      <c r="G147" s="5" t="s">
        <v>778</v>
      </c>
      <c r="H147" s="5" t="s">
        <v>19</v>
      </c>
      <c r="I147" s="5" t="s">
        <v>763</v>
      </c>
      <c r="J147" s="5" t="s">
        <v>705</v>
      </c>
      <c r="L147" s="5" t="str">
        <f>CONCATENATE(Tabla3[[#This Row],[ID]],"_",Tabla3[[#This Row],[Nombre Caso de uso]])</f>
        <v>CU-EM-010_Enviar producto a aval</v>
      </c>
    </row>
    <row r="148" spans="1:12" x14ac:dyDescent="0.25">
      <c r="A148" s="4" t="s">
        <v>712</v>
      </c>
      <c r="B148" s="5" t="s">
        <v>834</v>
      </c>
      <c r="C148" s="5" t="s">
        <v>614</v>
      </c>
      <c r="D148" s="5" t="s">
        <v>615</v>
      </c>
      <c r="E148" s="5" t="s">
        <v>1045</v>
      </c>
      <c r="F148" s="5" t="s">
        <v>592</v>
      </c>
      <c r="G148" s="5" t="s">
        <v>778</v>
      </c>
      <c r="H148" s="5" t="s">
        <v>19</v>
      </c>
      <c r="I148" s="5" t="s">
        <v>764</v>
      </c>
      <c r="J148" s="5" t="s">
        <v>705</v>
      </c>
      <c r="L148" s="5" t="str">
        <f>CONCATENATE(Tabla3[[#This Row],[ID]],"_",Tabla3[[#This Row],[Nombre Caso de uso]])</f>
        <v>CU-EM-011_Avalar, rechazar o solicitar ajustes de producto</v>
      </c>
    </row>
    <row r="149" spans="1:12" x14ac:dyDescent="0.25">
      <c r="A149" s="4" t="s">
        <v>713</v>
      </c>
      <c r="B149" s="5" t="s">
        <v>834</v>
      </c>
      <c r="C149" s="5" t="s">
        <v>616</v>
      </c>
      <c r="D149" s="5" t="s">
        <v>617</v>
      </c>
      <c r="E149" s="5" t="s">
        <v>1046</v>
      </c>
      <c r="F149" s="5" t="s">
        <v>618</v>
      </c>
      <c r="G149" s="5" t="s">
        <v>778</v>
      </c>
      <c r="H149" s="5" t="s">
        <v>19</v>
      </c>
      <c r="I149" s="5" t="s">
        <v>765</v>
      </c>
      <c r="J149" s="5" t="s">
        <v>705</v>
      </c>
      <c r="L149" s="5" t="str">
        <f>CONCATENATE(Tabla3[[#This Row],[ID]],"_",Tabla3[[#This Row],[Nombre Caso de uso]])</f>
        <v>CU-EM-012_Activar o inactivar producto avalado</v>
      </c>
    </row>
    <row r="150" spans="1:12" x14ac:dyDescent="0.25">
      <c r="A150" s="4" t="s">
        <v>714</v>
      </c>
      <c r="B150" s="5" t="s">
        <v>834</v>
      </c>
      <c r="C150" s="5" t="s">
        <v>619</v>
      </c>
      <c r="D150" s="5" t="s">
        <v>620</v>
      </c>
      <c r="E150" s="5" t="s">
        <v>1047</v>
      </c>
      <c r="F150" s="5" t="s">
        <v>445</v>
      </c>
      <c r="G150" s="5" t="s">
        <v>782</v>
      </c>
      <c r="H150" s="5" t="s">
        <v>19</v>
      </c>
      <c r="I150" s="5" t="s">
        <v>766</v>
      </c>
      <c r="J150" s="5" t="s">
        <v>705</v>
      </c>
      <c r="L150" s="5" t="str">
        <f>CONCATENATE(Tabla3[[#This Row],[ID]],"_",Tabla3[[#This Row],[Nombre Caso de uso]])</f>
        <v>CU-EM-013_Gestionar ofertas de oportunidad única o relámpago</v>
      </c>
    </row>
    <row r="151" spans="1:12" x14ac:dyDescent="0.25">
      <c r="A151" s="4" t="s">
        <v>715</v>
      </c>
      <c r="B151" s="5" t="s">
        <v>834</v>
      </c>
      <c r="C151" s="5" t="s">
        <v>621</v>
      </c>
      <c r="D151" s="5" t="s">
        <v>622</v>
      </c>
      <c r="E151" s="5" t="s">
        <v>1048</v>
      </c>
      <c r="F151" s="5" t="s">
        <v>445</v>
      </c>
      <c r="G151" s="5" t="s">
        <v>782</v>
      </c>
      <c r="H151" s="5" t="s">
        <v>19</v>
      </c>
      <c r="I151" s="5" t="s">
        <v>767</v>
      </c>
      <c r="J151" s="5" t="s">
        <v>705</v>
      </c>
      <c r="L151" s="5" t="str">
        <f>CONCATENATE(Tabla3[[#This Row],[ID]],"_",Tabla3[[#This Row],[Nombre Caso de uso]])</f>
        <v>CU-EM-014_Consultar y descargar reportes del emprendedor</v>
      </c>
    </row>
    <row r="152" spans="1:12" x14ac:dyDescent="0.25">
      <c r="A152" s="4" t="s">
        <v>716</v>
      </c>
      <c r="B152" s="5" t="s">
        <v>834</v>
      </c>
      <c r="C152" s="5" t="s">
        <v>623</v>
      </c>
      <c r="D152" s="5" t="s">
        <v>624</v>
      </c>
      <c r="E152" s="5" t="s">
        <v>1049</v>
      </c>
      <c r="F152" s="5" t="s">
        <v>592</v>
      </c>
      <c r="G152" s="5" t="s">
        <v>778</v>
      </c>
      <c r="H152" s="5" t="s">
        <v>19</v>
      </c>
      <c r="I152" s="5" t="s">
        <v>768</v>
      </c>
      <c r="J152" s="5" t="s">
        <v>705</v>
      </c>
      <c r="L152" s="5" t="str">
        <f>CONCATENATE(Tabla3[[#This Row],[ID]],"_",Tabla3[[#This Row],[Nombre Caso de uso]])</f>
        <v>CU-EM-015_Confirmar entrega física para habilitar dispersión</v>
      </c>
    </row>
    <row r="153" spans="1:12" x14ac:dyDescent="0.25">
      <c r="A153" s="4" t="s">
        <v>717</v>
      </c>
      <c r="B153" s="5" t="s">
        <v>834</v>
      </c>
      <c r="C153" s="5" t="s">
        <v>625</v>
      </c>
      <c r="D153" s="5" t="s">
        <v>626</v>
      </c>
      <c r="E153" s="5" t="s">
        <v>1050</v>
      </c>
      <c r="F153" s="5" t="s">
        <v>627</v>
      </c>
      <c r="G153" s="5" t="s">
        <v>778</v>
      </c>
      <c r="H153" s="5" t="s">
        <v>19</v>
      </c>
      <c r="I153" s="5" t="s">
        <v>769</v>
      </c>
      <c r="J153" s="5" t="s">
        <v>705</v>
      </c>
      <c r="L153" s="5" t="str">
        <f>CONCATENATE(Tabla3[[#This Row],[ID]],"_",Tabla3[[#This Row],[Nombre Caso de uso]])</f>
        <v>CU-EM-016_Autorizar dispersión al emprendedor</v>
      </c>
    </row>
    <row r="154" spans="1:12" x14ac:dyDescent="0.25">
      <c r="A154" s="4" t="s">
        <v>718</v>
      </c>
      <c r="B154" s="5" t="s">
        <v>834</v>
      </c>
      <c r="C154" s="5" t="s">
        <v>628</v>
      </c>
      <c r="D154" s="5" t="s">
        <v>629</v>
      </c>
      <c r="E154" s="5" t="s">
        <v>1051</v>
      </c>
      <c r="F154" s="5" t="s">
        <v>630</v>
      </c>
      <c r="G154" s="5" t="s">
        <v>778</v>
      </c>
      <c r="H154" s="5" t="s">
        <v>19</v>
      </c>
      <c r="I154" s="5" t="s">
        <v>770</v>
      </c>
      <c r="J154" s="5" t="s">
        <v>705</v>
      </c>
      <c r="L154" s="5" t="str">
        <f>CONCATENATE(Tabla3[[#This Row],[ID]],"_",Tabla3[[#This Row],[Nombre Caso de uso]])</f>
        <v>CU-EM-017_Ejecutar y consultar estado de dispersión</v>
      </c>
    </row>
    <row r="155" spans="1:12" x14ac:dyDescent="0.25">
      <c r="A155" s="4" t="s">
        <v>719</v>
      </c>
      <c r="B155" s="5" t="s">
        <v>834</v>
      </c>
      <c r="C155" s="5" t="s">
        <v>631</v>
      </c>
      <c r="D155" s="5" t="s">
        <v>632</v>
      </c>
      <c r="E155" s="5" t="s">
        <v>1052</v>
      </c>
      <c r="F155" s="5" t="s">
        <v>633</v>
      </c>
      <c r="G155" s="5" t="s">
        <v>778</v>
      </c>
      <c r="H155" s="5" t="s">
        <v>19</v>
      </c>
      <c r="I155" s="5" t="s">
        <v>771</v>
      </c>
      <c r="J155" s="5" t="s">
        <v>705</v>
      </c>
      <c r="L155" s="5" t="str">
        <f>CONCATENATE(Tabla3[[#This Row],[ID]],"_",Tabla3[[#This Row],[Nombre Caso de uso]])</f>
        <v>CU-EM-018_Gestionar comisión por producto vendido</v>
      </c>
    </row>
    <row r="156" spans="1:12" x14ac:dyDescent="0.25">
      <c r="A156" s="4" t="s">
        <v>720</v>
      </c>
      <c r="B156" s="5" t="s">
        <v>834</v>
      </c>
      <c r="C156" s="5" t="s">
        <v>634</v>
      </c>
      <c r="D156" s="5" t="s">
        <v>635</v>
      </c>
      <c r="E156" s="5" t="s">
        <v>1053</v>
      </c>
      <c r="F156" s="5" t="s">
        <v>636</v>
      </c>
      <c r="G156" s="5" t="s">
        <v>782</v>
      </c>
      <c r="H156" s="5" t="s">
        <v>19</v>
      </c>
      <c r="I156" s="5" t="s">
        <v>772</v>
      </c>
      <c r="J156" s="5" t="s">
        <v>705</v>
      </c>
      <c r="L156" s="5" t="str">
        <f>CONCATENATE(Tabla3[[#This Row],[ID]],"_",Tabla3[[#This Row],[Nombre Caso de uso]])</f>
        <v>CU-EM-019_Registrar integración de servicio logístico suministrado por CuchosTool</v>
      </c>
    </row>
    <row r="157" spans="1:12" x14ac:dyDescent="0.25">
      <c r="A157" s="4" t="s">
        <v>721</v>
      </c>
      <c r="B157" s="5" t="s">
        <v>834</v>
      </c>
      <c r="C157" s="5" t="s">
        <v>637</v>
      </c>
      <c r="D157" s="5" t="s">
        <v>638</v>
      </c>
      <c r="E157" s="5" t="s">
        <v>971</v>
      </c>
      <c r="F157" s="5" t="s">
        <v>266</v>
      </c>
      <c r="G157" s="5" t="s">
        <v>778</v>
      </c>
      <c r="H157" s="5" t="s">
        <v>19</v>
      </c>
      <c r="I157" s="5" t="s">
        <v>773</v>
      </c>
      <c r="J157" s="5" t="s">
        <v>705</v>
      </c>
      <c r="L157" s="5" t="str">
        <f>CONCATENATE(Tabla3[[#This Row],[ID]],"_",Tabla3[[#This Row],[Nombre Caso de uso]])</f>
        <v>CU-EM-020_Aplicar aislamiento y autorización por emprendedor</v>
      </c>
    </row>
    <row r="158" spans="1:12" x14ac:dyDescent="0.25">
      <c r="A158" s="4" t="s">
        <v>722</v>
      </c>
      <c r="B158" s="5" t="s">
        <v>838</v>
      </c>
      <c r="C158" s="5" t="s">
        <v>639</v>
      </c>
      <c r="D158" s="5" t="s">
        <v>640</v>
      </c>
      <c r="E158" s="5" t="s">
        <v>1054</v>
      </c>
      <c r="F158" s="5" t="s">
        <v>641</v>
      </c>
      <c r="G158" s="5" t="s">
        <v>782</v>
      </c>
      <c r="H158" s="5" t="s">
        <v>19</v>
      </c>
      <c r="I158" s="5" t="s">
        <v>839</v>
      </c>
      <c r="J158" s="5" t="s">
        <v>705</v>
      </c>
      <c r="L158" s="5" t="str">
        <f>CONCATENATE(Tabla3[[#This Row],[ID]],"_",Tabla3[[#This Row],[Nombre Caso de uso]])</f>
        <v>CU-SGC-001_Acceder al Centro de Ayuda y Soporte</v>
      </c>
    </row>
    <row r="159" spans="1:12" x14ac:dyDescent="0.25">
      <c r="A159" s="4" t="s">
        <v>723</v>
      </c>
      <c r="B159" s="5" t="s">
        <v>838</v>
      </c>
      <c r="C159" s="5" t="s">
        <v>642</v>
      </c>
      <c r="D159" s="5" t="s">
        <v>643</v>
      </c>
      <c r="E159" s="5" t="s">
        <v>1055</v>
      </c>
      <c r="F159" s="5" t="s">
        <v>644</v>
      </c>
      <c r="G159" s="5" t="s">
        <v>778</v>
      </c>
      <c r="H159" s="5" t="s">
        <v>19</v>
      </c>
      <c r="I159" s="5" t="s">
        <v>840</v>
      </c>
      <c r="J159" s="5" t="s">
        <v>705</v>
      </c>
      <c r="L159" s="5" t="str">
        <f>CONCATENATE(Tabla3[[#This Row],[ID]],"_",Tabla3[[#This Row],[Nombre Caso de uso]])</f>
        <v>CU-SGC-002_Crear caso o ticket de soporte</v>
      </c>
    </row>
    <row r="160" spans="1:12" x14ac:dyDescent="0.25">
      <c r="A160" s="4" t="s">
        <v>724</v>
      </c>
      <c r="B160" s="5" t="s">
        <v>838</v>
      </c>
      <c r="C160" s="5" t="s">
        <v>645</v>
      </c>
      <c r="D160" s="5" t="s">
        <v>646</v>
      </c>
      <c r="E160" s="5" t="s">
        <v>1056</v>
      </c>
      <c r="F160" s="5" t="s">
        <v>647</v>
      </c>
      <c r="G160" s="5" t="s">
        <v>778</v>
      </c>
      <c r="H160" s="5" t="s">
        <v>19</v>
      </c>
      <c r="I160" s="5" t="s">
        <v>841</v>
      </c>
      <c r="J160" s="5" t="s">
        <v>705</v>
      </c>
      <c r="L160" s="5" t="str">
        <f>CONCATENATE(Tabla3[[#This Row],[ID]],"_",Tabla3[[#This Row],[Nombre Caso de uso]])</f>
        <v>CU-SGC-003_Iniciar caso desde pedido, detalle o producto adquirido</v>
      </c>
    </row>
    <row r="161" spans="1:12" x14ac:dyDescent="0.25">
      <c r="A161" s="4" t="s">
        <v>725</v>
      </c>
      <c r="B161" s="5" t="s">
        <v>838</v>
      </c>
      <c r="C161" s="5" t="s">
        <v>648</v>
      </c>
      <c r="D161" s="5" t="s">
        <v>649</v>
      </c>
      <c r="E161" s="5" t="s">
        <v>1057</v>
      </c>
      <c r="F161" s="5" t="s">
        <v>647</v>
      </c>
      <c r="G161" s="5" t="s">
        <v>778</v>
      </c>
      <c r="H161" s="5" t="s">
        <v>19</v>
      </c>
      <c r="I161" s="5" t="s">
        <v>842</v>
      </c>
      <c r="J161" s="5" t="s">
        <v>705</v>
      </c>
      <c r="L161" s="5" t="str">
        <f>CONCATENATE(Tabla3[[#This Row],[ID]],"_",Tabla3[[#This Row],[Nombre Caso de uso]])</f>
        <v>CU-SGC-004_Consultar mis solicitudes, garantías y estado del caso</v>
      </c>
    </row>
    <row r="162" spans="1:12" x14ac:dyDescent="0.25">
      <c r="A162" s="4" t="s">
        <v>726</v>
      </c>
      <c r="B162" s="5" t="s">
        <v>838</v>
      </c>
      <c r="C162" s="5" t="s">
        <v>650</v>
      </c>
      <c r="D162" s="5" t="s">
        <v>651</v>
      </c>
      <c r="E162" s="5" t="s">
        <v>1058</v>
      </c>
      <c r="F162" s="5" t="s">
        <v>652</v>
      </c>
      <c r="G162" s="5" t="s">
        <v>778</v>
      </c>
      <c r="H162" s="5" t="s">
        <v>19</v>
      </c>
      <c r="I162" s="5" t="s">
        <v>843</v>
      </c>
      <c r="J162" s="5" t="s">
        <v>705</v>
      </c>
      <c r="L162" s="5" t="str">
        <f>CONCATENATE(Tabla3[[#This Row],[ID]],"_",Tabla3[[#This Row],[Nombre Caso de uso]])</f>
        <v>CU-SGC-005_Actualizar información y responder solicitudes del caso</v>
      </c>
    </row>
    <row r="163" spans="1:12" x14ac:dyDescent="0.25">
      <c r="A163" s="4" t="s">
        <v>727</v>
      </c>
      <c r="B163" s="5" t="s">
        <v>838</v>
      </c>
      <c r="C163" s="5" t="s">
        <v>653</v>
      </c>
      <c r="D163" s="5" t="s">
        <v>654</v>
      </c>
      <c r="E163" s="5" t="s">
        <v>1059</v>
      </c>
      <c r="F163" s="5" t="s">
        <v>655</v>
      </c>
      <c r="G163" s="5" t="s">
        <v>778</v>
      </c>
      <c r="H163" s="5" t="s">
        <v>19</v>
      </c>
      <c r="I163" s="5" t="s">
        <v>844</v>
      </c>
      <c r="J163" s="5" t="s">
        <v>705</v>
      </c>
      <c r="L163" s="5" t="str">
        <f>CONCATENATE(Tabla3[[#This Row],[ID]],"_",Tabla3[[#This Row],[Nombre Caso de uso]])</f>
        <v>CU-SGC-006_Adjuntar y gestionar evidencias seguras</v>
      </c>
    </row>
    <row r="164" spans="1:12" x14ac:dyDescent="0.25">
      <c r="A164" s="4" t="s">
        <v>728</v>
      </c>
      <c r="B164" s="5" t="s">
        <v>838</v>
      </c>
      <c r="C164" s="5" t="s">
        <v>656</v>
      </c>
      <c r="D164" s="5" t="s">
        <v>657</v>
      </c>
      <c r="E164" s="5" t="s">
        <v>1060</v>
      </c>
      <c r="F164" s="5" t="s">
        <v>658</v>
      </c>
      <c r="G164" s="5" t="s">
        <v>778</v>
      </c>
      <c r="H164" s="5" t="s">
        <v>19</v>
      </c>
      <c r="I164" s="5" t="s">
        <v>845</v>
      </c>
      <c r="J164" s="5" t="s">
        <v>705</v>
      </c>
      <c r="L164" s="5" t="str">
        <f>CONCATENATE(Tabla3[[#This Row],[ID]],"_",Tabla3[[#This Row],[Nombre Caso de uso]])</f>
        <v>CU-SGC-007_Asignar o reasignar caso</v>
      </c>
    </row>
    <row r="165" spans="1:12" x14ac:dyDescent="0.25">
      <c r="A165" s="4" t="s">
        <v>729</v>
      </c>
      <c r="B165" s="5" t="s">
        <v>838</v>
      </c>
      <c r="C165" s="5" t="s">
        <v>659</v>
      </c>
      <c r="D165" s="5" t="s">
        <v>660</v>
      </c>
      <c r="E165" s="5" t="s">
        <v>1061</v>
      </c>
      <c r="F165" s="5" t="s">
        <v>661</v>
      </c>
      <c r="G165" s="5" t="s">
        <v>778</v>
      </c>
      <c r="H165" s="5" t="s">
        <v>19</v>
      </c>
      <c r="I165" s="5" t="s">
        <v>846</v>
      </c>
      <c r="J165" s="5" t="s">
        <v>705</v>
      </c>
      <c r="L165" s="5" t="str">
        <f>CONCATENATE(Tabla3[[#This Row],[ID]],"_",Tabla3[[#This Row],[Nombre Caso de uso]])</f>
        <v>CU-SGC-008_Gestionar prioridad del caso</v>
      </c>
    </row>
    <row r="166" spans="1:12" x14ac:dyDescent="0.25">
      <c r="A166" s="4" t="s">
        <v>730</v>
      </c>
      <c r="B166" s="5" t="s">
        <v>838</v>
      </c>
      <c r="C166" s="5" t="s">
        <v>662</v>
      </c>
      <c r="D166" s="5" t="s">
        <v>663</v>
      </c>
      <c r="E166" s="5" t="s">
        <v>931</v>
      </c>
      <c r="F166" s="5" t="s">
        <v>627</v>
      </c>
      <c r="G166" s="5" t="s">
        <v>778</v>
      </c>
      <c r="H166" s="5" t="s">
        <v>19</v>
      </c>
      <c r="I166" s="5" t="s">
        <v>847</v>
      </c>
      <c r="J166" s="5" t="s">
        <v>705</v>
      </c>
      <c r="L166" s="5" t="str">
        <f>CONCATENATE(Tabla3[[#This Row],[ID]],"_",Tabla3[[#This Row],[Nombre Caso de uso]])</f>
        <v>CU-SGC-009_Gestionar estados y transiciones del caso</v>
      </c>
    </row>
    <row r="167" spans="1:12" x14ac:dyDescent="0.25">
      <c r="A167" s="4" t="s">
        <v>731</v>
      </c>
      <c r="B167" s="5" t="s">
        <v>838</v>
      </c>
      <c r="C167" s="5" t="s">
        <v>664</v>
      </c>
      <c r="D167" s="5" t="s">
        <v>665</v>
      </c>
      <c r="E167" s="5" t="s">
        <v>1062</v>
      </c>
      <c r="F167" s="5" t="s">
        <v>658</v>
      </c>
      <c r="G167" s="5" t="s">
        <v>778</v>
      </c>
      <c r="H167" s="5" t="s">
        <v>19</v>
      </c>
      <c r="I167" s="5" t="s">
        <v>848</v>
      </c>
      <c r="J167" s="5" t="s">
        <v>705</v>
      </c>
      <c r="L167" s="5" t="str">
        <f>CONCATENATE(Tabla3[[#This Row],[ID]],"_",Tabla3[[#This Row],[Nombre Caso de uso]])</f>
        <v>CU-SGC-010_Escalar caso a responsable o tercero</v>
      </c>
    </row>
    <row r="168" spans="1:12" x14ac:dyDescent="0.25">
      <c r="A168" s="4" t="s">
        <v>732</v>
      </c>
      <c r="B168" s="5" t="s">
        <v>838</v>
      </c>
      <c r="C168" s="5" t="s">
        <v>666</v>
      </c>
      <c r="D168" s="5" t="s">
        <v>667</v>
      </c>
      <c r="E168" s="5" t="s">
        <v>1063</v>
      </c>
      <c r="F168" s="5" t="s">
        <v>668</v>
      </c>
      <c r="G168" s="5" t="s">
        <v>778</v>
      </c>
      <c r="H168" s="5" t="s">
        <v>19</v>
      </c>
      <c r="I168" s="5" t="s">
        <v>849</v>
      </c>
      <c r="J168" s="5" t="s">
        <v>705</v>
      </c>
      <c r="L168" s="5" t="str">
        <f>CONCATENATE(Tabla3[[#This Row],[ID]],"_",Tabla3[[#This Row],[Nombre Caso de uso]])</f>
        <v>CU-SGC-011_Gestionar SLA y tiempos de atención</v>
      </c>
    </row>
    <row r="169" spans="1:12" x14ac:dyDescent="0.25">
      <c r="A169" s="4" t="s">
        <v>733</v>
      </c>
      <c r="B169" s="5" t="s">
        <v>838</v>
      </c>
      <c r="C169" s="5" t="s">
        <v>669</v>
      </c>
      <c r="D169" s="5" t="s">
        <v>670</v>
      </c>
      <c r="E169" s="5" t="s">
        <v>1064</v>
      </c>
      <c r="F169" s="5" t="s">
        <v>671</v>
      </c>
      <c r="G169" s="5" t="s">
        <v>778</v>
      </c>
      <c r="H169" s="5" t="s">
        <v>19</v>
      </c>
      <c r="I169" s="5" t="s">
        <v>850</v>
      </c>
      <c r="J169" s="5" t="s">
        <v>705</v>
      </c>
      <c r="L169" s="5" t="str">
        <f>CONCATENATE(Tabla3[[#This Row],[ID]],"_",Tabla3[[#This Row],[Nombre Caso de uso]])</f>
        <v>CU-SGC-012_Atender soporte, incidentes, quejas, reclamos y peticiones</v>
      </c>
    </row>
    <row r="170" spans="1:12" x14ac:dyDescent="0.25">
      <c r="A170" s="4" t="s">
        <v>734</v>
      </c>
      <c r="B170" s="5" t="s">
        <v>838</v>
      </c>
      <c r="C170" s="5" t="s">
        <v>672</v>
      </c>
      <c r="D170" s="5" t="s">
        <v>673</v>
      </c>
      <c r="E170" s="5" t="s">
        <v>1065</v>
      </c>
      <c r="F170" s="5" t="s">
        <v>647</v>
      </c>
      <c r="G170" s="5" t="s">
        <v>778</v>
      </c>
      <c r="H170" s="5" t="s">
        <v>19</v>
      </c>
      <c r="I170" s="5" t="s">
        <v>851</v>
      </c>
      <c r="J170" s="5" t="s">
        <v>705</v>
      </c>
      <c r="L170" s="5" t="str">
        <f>CONCATENATE(Tabla3[[#This Row],[ID]],"_",Tabla3[[#This Row],[Nombre Caso de uso]])</f>
        <v>CU-SGC-013_Solicitar garantía</v>
      </c>
    </row>
    <row r="171" spans="1:12" x14ac:dyDescent="0.25">
      <c r="A171" s="4" t="s">
        <v>735</v>
      </c>
      <c r="B171" s="5" t="s">
        <v>838</v>
      </c>
      <c r="C171" s="5" t="s">
        <v>674</v>
      </c>
      <c r="D171" s="5" t="s">
        <v>675</v>
      </c>
      <c r="E171" s="5" t="s">
        <v>1066</v>
      </c>
      <c r="F171" s="5" t="s">
        <v>676</v>
      </c>
      <c r="G171" s="5" t="s">
        <v>778</v>
      </c>
      <c r="H171" s="5" t="s">
        <v>19</v>
      </c>
      <c r="I171" s="5" t="s">
        <v>852</v>
      </c>
      <c r="J171" s="5" t="s">
        <v>705</v>
      </c>
      <c r="L171" s="5" t="str">
        <f>CONCATENATE(Tabla3[[#This Row],[ID]],"_",Tabla3[[#This Row],[Nombre Caso de uso]])</f>
        <v>CU-SGC-014_Evaluar y decidir garantía</v>
      </c>
    </row>
    <row r="172" spans="1:12" x14ac:dyDescent="0.25">
      <c r="A172" s="4" t="s">
        <v>736</v>
      </c>
      <c r="B172" s="5" t="s">
        <v>838</v>
      </c>
      <c r="C172" s="5" t="s">
        <v>677</v>
      </c>
      <c r="D172" s="5" t="s">
        <v>678</v>
      </c>
      <c r="E172" s="5" t="s">
        <v>1067</v>
      </c>
      <c r="F172" s="5" t="s">
        <v>679</v>
      </c>
      <c r="G172" s="5" t="s">
        <v>778</v>
      </c>
      <c r="H172" s="5" t="s">
        <v>19</v>
      </c>
      <c r="I172" s="5" t="s">
        <v>853</v>
      </c>
      <c r="J172" s="5" t="s">
        <v>705</v>
      </c>
      <c r="L172" s="5" t="str">
        <f>CONCATENATE(Tabla3[[#This Row],[ID]],"_",Tabla3[[#This Row],[Nombre Caso de uso]])</f>
        <v>CU-SGC-015_Solicitar devolución, cambio, recogida o reemplazo</v>
      </c>
    </row>
    <row r="173" spans="1:12" x14ac:dyDescent="0.25">
      <c r="A173" s="4" t="s">
        <v>737</v>
      </c>
      <c r="B173" s="5" t="s">
        <v>838</v>
      </c>
      <c r="C173" s="5" t="s">
        <v>680</v>
      </c>
      <c r="D173" s="5" t="s">
        <v>681</v>
      </c>
      <c r="E173" s="5" t="s">
        <v>1068</v>
      </c>
      <c r="F173" s="5" t="s">
        <v>679</v>
      </c>
      <c r="G173" s="5" t="s">
        <v>778</v>
      </c>
      <c r="H173" s="5" t="s">
        <v>19</v>
      </c>
      <c r="I173" s="5" t="s">
        <v>854</v>
      </c>
      <c r="J173" s="5" t="s">
        <v>705</v>
      </c>
      <c r="L173" s="5" t="str">
        <f>CONCATENATE(Tabla3[[#This Row],[ID]],"_",Tabla3[[#This Row],[Nombre Caso de uso]])</f>
        <v>CU-SGC-016_Solicitar reembolso o reversión al módulo de pagos</v>
      </c>
    </row>
    <row r="174" spans="1:12" x14ac:dyDescent="0.25">
      <c r="A174" s="4" t="s">
        <v>738</v>
      </c>
      <c r="B174" s="5" t="s">
        <v>838</v>
      </c>
      <c r="C174" s="5" t="s">
        <v>682</v>
      </c>
      <c r="D174" s="5" t="s">
        <v>683</v>
      </c>
      <c r="E174" s="5" t="s">
        <v>1069</v>
      </c>
      <c r="F174" s="5" t="s">
        <v>627</v>
      </c>
      <c r="G174" s="5" t="s">
        <v>778</v>
      </c>
      <c r="H174" s="5" t="s">
        <v>19</v>
      </c>
      <c r="I174" s="5" t="s">
        <v>855</v>
      </c>
      <c r="J174" s="5" t="s">
        <v>705</v>
      </c>
      <c r="L174" s="5" t="str">
        <f>CONCATENATE(Tabla3[[#This Row],[ID]],"_",Tabla3[[#This Row],[Nombre Caso de uso]])</f>
        <v>CU-SGC-017_Cerrar, reabrir o cancelar caso</v>
      </c>
    </row>
    <row r="175" spans="1:12" x14ac:dyDescent="0.25">
      <c r="A175" s="4" t="s">
        <v>739</v>
      </c>
      <c r="B175" s="5" t="s">
        <v>838</v>
      </c>
      <c r="C175" s="5" t="s">
        <v>684</v>
      </c>
      <c r="D175" s="5" t="s">
        <v>685</v>
      </c>
      <c r="E175" s="5" t="s">
        <v>1070</v>
      </c>
      <c r="F175" s="5" t="s">
        <v>266</v>
      </c>
      <c r="G175" s="5" t="s">
        <v>782</v>
      </c>
      <c r="H175" s="5" t="s">
        <v>19</v>
      </c>
      <c r="I175" s="5" t="s">
        <v>856</v>
      </c>
      <c r="J175" s="5" t="s">
        <v>705</v>
      </c>
      <c r="L175" s="5" t="str">
        <f>CONCATENATE(Tabla3[[#This Row],[ID]],"_",Tabla3[[#This Row],[Nombre Caso de uso]])</f>
        <v>CU-SGC-018_Enviar encuesta de satisfacción</v>
      </c>
    </row>
    <row r="176" spans="1:12" x14ac:dyDescent="0.25">
      <c r="A176" s="4" t="s">
        <v>740</v>
      </c>
      <c r="B176" s="5" t="s">
        <v>838</v>
      </c>
      <c r="C176" s="5" t="s">
        <v>686</v>
      </c>
      <c r="D176" s="5" t="s">
        <v>687</v>
      </c>
      <c r="E176" s="5" t="s">
        <v>1071</v>
      </c>
      <c r="F176" s="5" t="s">
        <v>647</v>
      </c>
      <c r="G176" s="5" t="s">
        <v>782</v>
      </c>
      <c r="H176" s="5" t="s">
        <v>19</v>
      </c>
      <c r="I176" s="5" t="s">
        <v>857</v>
      </c>
      <c r="J176" s="5" t="s">
        <v>705</v>
      </c>
      <c r="L176" s="5" t="str">
        <f>CONCATENATE(Tabla3[[#This Row],[ID]],"_",Tabla3[[#This Row],[Nombre Caso de uso]])</f>
        <v>CU-SGC-019_Registrar calificación de atención y servicio</v>
      </c>
    </row>
    <row r="177" spans="1:12" x14ac:dyDescent="0.25">
      <c r="A177" s="4" t="s">
        <v>741</v>
      </c>
      <c r="B177" s="5" t="s">
        <v>838</v>
      </c>
      <c r="C177" s="5" t="s">
        <v>688</v>
      </c>
      <c r="D177" s="5" t="s">
        <v>689</v>
      </c>
      <c r="E177" s="5" t="s">
        <v>1072</v>
      </c>
      <c r="F177" s="5" t="s">
        <v>690</v>
      </c>
      <c r="G177" s="5" t="s">
        <v>778</v>
      </c>
      <c r="H177" s="5" t="s">
        <v>19</v>
      </c>
      <c r="I177" s="5" t="s">
        <v>858</v>
      </c>
      <c r="J177" s="5" t="s">
        <v>705</v>
      </c>
      <c r="L177" s="5" t="str">
        <f>CONCATENATE(Tabla3[[#This Row],[ID]],"_",Tabla3[[#This Row],[Nombre Caso de uso]])</f>
        <v>CU-SGC-020_Detectar patrones e incidentes de calidad</v>
      </c>
    </row>
    <row r="178" spans="1:12" x14ac:dyDescent="0.25">
      <c r="A178" s="4" t="s">
        <v>742</v>
      </c>
      <c r="B178" s="5" t="s">
        <v>838</v>
      </c>
      <c r="C178" s="5" t="s">
        <v>691</v>
      </c>
      <c r="D178" s="5" t="s">
        <v>692</v>
      </c>
      <c r="E178" s="5" t="s">
        <v>1073</v>
      </c>
      <c r="F178" s="5" t="s">
        <v>266</v>
      </c>
      <c r="G178" s="5" t="s">
        <v>778</v>
      </c>
      <c r="H178" s="5" t="s">
        <v>19</v>
      </c>
      <c r="I178" s="5" t="s">
        <v>859</v>
      </c>
      <c r="J178" s="5" t="s">
        <v>705</v>
      </c>
      <c r="L178" s="5" t="str">
        <f>CONCATENATE(Tabla3[[#This Row],[ID]],"_",Tabla3[[#This Row],[Nombre Caso de uso]])</f>
        <v>CU-SGC-021_Generar alerta de calidad por umbrales</v>
      </c>
    </row>
    <row r="179" spans="1:12" x14ac:dyDescent="0.25">
      <c r="A179" s="4" t="s">
        <v>743</v>
      </c>
      <c r="B179" s="5" t="s">
        <v>838</v>
      </c>
      <c r="C179" s="5" t="s">
        <v>693</v>
      </c>
      <c r="D179" s="5" t="s">
        <v>694</v>
      </c>
      <c r="E179" s="5" t="s">
        <v>1074</v>
      </c>
      <c r="F179" s="5" t="s">
        <v>695</v>
      </c>
      <c r="G179" s="5" t="s">
        <v>778</v>
      </c>
      <c r="H179" s="5" t="s">
        <v>19</v>
      </c>
      <c r="I179" s="5" t="s">
        <v>860</v>
      </c>
      <c r="J179" s="5" t="s">
        <v>705</v>
      </c>
      <c r="L179" s="5" t="str">
        <f>CONCATENATE(Tabla3[[#This Row],[ID]],"_",Tabla3[[#This Row],[Nombre Caso de uso]])</f>
        <v>CU-SGC-022_Crear y gestionar acción correctiva</v>
      </c>
    </row>
    <row r="180" spans="1:12" x14ac:dyDescent="0.25">
      <c r="A180" s="4" t="s">
        <v>744</v>
      </c>
      <c r="B180" s="5" t="s">
        <v>838</v>
      </c>
      <c r="C180" s="5" t="s">
        <v>696</v>
      </c>
      <c r="D180" s="5" t="s">
        <v>697</v>
      </c>
      <c r="E180" s="5" t="s">
        <v>950</v>
      </c>
      <c r="F180" s="5" t="s">
        <v>698</v>
      </c>
      <c r="G180" s="5" t="s">
        <v>778</v>
      </c>
      <c r="H180" s="5" t="s">
        <v>19</v>
      </c>
      <c r="I180" s="5" t="s">
        <v>861</v>
      </c>
      <c r="J180" s="5" t="s">
        <v>705</v>
      </c>
      <c r="L180" s="5" t="str">
        <f>CONCATENATE(Tabla3[[#This Row],[ID]],"_",Tabla3[[#This Row],[Nombre Caso de uso]])</f>
        <v>CU-SGC-023_Consultar dashboard e indicadores de calidad</v>
      </c>
    </row>
    <row r="181" spans="1:12" x14ac:dyDescent="0.25">
      <c r="A181" s="4" t="s">
        <v>745</v>
      </c>
      <c r="B181" s="5" t="s">
        <v>838</v>
      </c>
      <c r="C181" s="5" t="s">
        <v>699</v>
      </c>
      <c r="D181" s="5" t="s">
        <v>700</v>
      </c>
      <c r="E181" s="5" t="s">
        <v>1075</v>
      </c>
      <c r="F181" s="5" t="s">
        <v>445</v>
      </c>
      <c r="G181" s="5" t="s">
        <v>778</v>
      </c>
      <c r="H181" s="5" t="s">
        <v>19</v>
      </c>
      <c r="I181" s="5" t="s">
        <v>862</v>
      </c>
      <c r="J181" s="5" t="s">
        <v>705</v>
      </c>
      <c r="L181" s="5" t="str">
        <f>CONCATENATE(Tabla3[[#This Row],[ID]],"_",Tabla3[[#This Row],[Nombre Caso de uso]])</f>
        <v>CU-SGC-024_Consultar casos relacionados con productos propios</v>
      </c>
    </row>
    <row r="182" spans="1:12" x14ac:dyDescent="0.25">
      <c r="A182" s="4" t="s">
        <v>746</v>
      </c>
      <c r="B182" s="5" t="s">
        <v>838</v>
      </c>
      <c r="C182" s="5" t="s">
        <v>701</v>
      </c>
      <c r="D182" s="5" t="s">
        <v>702</v>
      </c>
      <c r="E182" s="5" t="s">
        <v>1076</v>
      </c>
      <c r="F182" s="5" t="s">
        <v>592</v>
      </c>
      <c r="G182" s="5" t="s">
        <v>778</v>
      </c>
      <c r="H182" s="5" t="s">
        <v>19</v>
      </c>
      <c r="I182" s="5" t="s">
        <v>863</v>
      </c>
      <c r="J182" s="5" t="s">
        <v>705</v>
      </c>
      <c r="L182" s="5" t="str">
        <f>CONCATENATE(Tabla3[[#This Row],[ID]],"_",Tabla3[[#This Row],[Nombre Caso de uso]])</f>
        <v>CU-SGC-025_Gestionar participación del Gerente de Zona en casos</v>
      </c>
    </row>
    <row r="183" spans="1:12" x14ac:dyDescent="0.25">
      <c r="A183" s="4" t="s">
        <v>747</v>
      </c>
      <c r="B183" s="5" t="s">
        <v>838</v>
      </c>
      <c r="C183" s="5" t="s">
        <v>703</v>
      </c>
      <c r="D183" s="5" t="s">
        <v>704</v>
      </c>
      <c r="E183" s="5" t="s">
        <v>1077</v>
      </c>
      <c r="F183" s="5" t="s">
        <v>658</v>
      </c>
      <c r="G183" s="5" t="s">
        <v>778</v>
      </c>
      <c r="H183" s="5" t="s">
        <v>19</v>
      </c>
      <c r="I183" s="5" t="s">
        <v>864</v>
      </c>
      <c r="J183" s="5" t="s">
        <v>705</v>
      </c>
      <c r="L183" s="5" t="str">
        <f>CONCATENATE(Tabla3[[#This Row],[ID]],"_",Tabla3[[#This Row],[Nombre Caso de uso]])</f>
        <v>CU-SGC-026_Gestionar bandeja operativa del equipo de soporte</v>
      </c>
    </row>
  </sheetData>
  <phoneticPr fontId="3" type="noConversion"/>
  <pageMargins left="0.7" right="0.7" top="0.75" bottom="0.75" header="0.3" footer="0.3"/>
  <pageSetup orientation="portrait"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7767B3-0523-450B-A645-63D09EC56EE0}">
  <dimension ref="A1:F187"/>
  <sheetViews>
    <sheetView topLeftCell="A172" workbookViewId="0">
      <selection activeCell="B2" sqref="B2"/>
    </sheetView>
  </sheetViews>
  <sheetFormatPr baseColWidth="10" defaultRowHeight="15" x14ac:dyDescent="0.25"/>
  <cols>
    <col min="1" max="1" width="12.5703125" bestFit="1" customWidth="1"/>
    <col min="2" max="2" width="66.42578125" bestFit="1" customWidth="1"/>
    <col min="3" max="3" width="20.5703125" customWidth="1"/>
    <col min="4" max="4" width="25.85546875" bestFit="1" customWidth="1"/>
    <col min="5" max="5" width="114" bestFit="1" customWidth="1"/>
  </cols>
  <sheetData>
    <row r="1" spans="1:6" x14ac:dyDescent="0.25">
      <c r="A1" t="s">
        <v>865</v>
      </c>
      <c r="B1" t="s">
        <v>866</v>
      </c>
      <c r="C1" t="s">
        <v>588</v>
      </c>
      <c r="D1" t="s">
        <v>867</v>
      </c>
      <c r="E1" t="s">
        <v>868</v>
      </c>
      <c r="F1" t="s">
        <v>776</v>
      </c>
    </row>
    <row r="2" spans="1:6" x14ac:dyDescent="0.25">
      <c r="A2" t="s">
        <v>2</v>
      </c>
      <c r="B2" t="s">
        <v>3</v>
      </c>
      <c r="C2" t="s">
        <v>869</v>
      </c>
      <c r="D2" t="s">
        <v>870</v>
      </c>
      <c r="E2" t="s">
        <v>871</v>
      </c>
      <c r="F2" t="s">
        <v>587</v>
      </c>
    </row>
    <row r="3" spans="1:6" x14ac:dyDescent="0.25">
      <c r="A3" t="s">
        <v>6</v>
      </c>
      <c r="B3" t="s">
        <v>7</v>
      </c>
      <c r="C3" t="s">
        <v>872</v>
      </c>
      <c r="D3" t="s">
        <v>870</v>
      </c>
      <c r="E3" t="s">
        <v>871</v>
      </c>
      <c r="F3" t="s">
        <v>587</v>
      </c>
    </row>
    <row r="4" spans="1:6" x14ac:dyDescent="0.25">
      <c r="A4" t="s">
        <v>9</v>
      </c>
      <c r="B4" t="s">
        <v>10</v>
      </c>
      <c r="C4" t="s">
        <v>873</v>
      </c>
      <c r="D4" t="s">
        <v>870</v>
      </c>
      <c r="E4" t="s">
        <v>871</v>
      </c>
      <c r="F4" t="s">
        <v>587</v>
      </c>
    </row>
    <row r="5" spans="1:6" x14ac:dyDescent="0.25">
      <c r="A5" t="s">
        <v>11</v>
      </c>
      <c r="B5" t="s">
        <v>12</v>
      </c>
      <c r="C5" t="s">
        <v>874</v>
      </c>
      <c r="D5" t="s">
        <v>870</v>
      </c>
      <c r="E5" t="s">
        <v>871</v>
      </c>
      <c r="F5" t="s">
        <v>587</v>
      </c>
    </row>
    <row r="6" spans="1:6" x14ac:dyDescent="0.25">
      <c r="A6" t="s">
        <v>14</v>
      </c>
      <c r="B6" t="s">
        <v>15</v>
      </c>
      <c r="C6" t="s">
        <v>875</v>
      </c>
      <c r="D6" t="s">
        <v>870</v>
      </c>
      <c r="E6" t="s">
        <v>871</v>
      </c>
      <c r="F6" t="s">
        <v>587</v>
      </c>
    </row>
    <row r="7" spans="1:6" x14ac:dyDescent="0.25">
      <c r="A7" t="s">
        <v>17</v>
      </c>
      <c r="B7" t="s">
        <v>18</v>
      </c>
      <c r="C7" t="s">
        <v>876</v>
      </c>
      <c r="D7" t="s">
        <v>870</v>
      </c>
      <c r="E7" t="s">
        <v>871</v>
      </c>
      <c r="F7" t="s">
        <v>587</v>
      </c>
    </row>
    <row r="8" spans="1:6" x14ac:dyDescent="0.25">
      <c r="A8" t="s">
        <v>20</v>
      </c>
      <c r="B8" t="s">
        <v>21</v>
      </c>
      <c r="C8" t="s">
        <v>877</v>
      </c>
      <c r="D8" t="s">
        <v>870</v>
      </c>
      <c r="E8" t="s">
        <v>871</v>
      </c>
      <c r="F8" t="s">
        <v>587</v>
      </c>
    </row>
    <row r="9" spans="1:6" x14ac:dyDescent="0.25">
      <c r="A9" t="s">
        <v>24</v>
      </c>
      <c r="B9" t="s">
        <v>25</v>
      </c>
      <c r="C9" t="s">
        <v>878</v>
      </c>
      <c r="D9" t="s">
        <v>870</v>
      </c>
      <c r="E9" t="s">
        <v>871</v>
      </c>
      <c r="F9" t="s">
        <v>587</v>
      </c>
    </row>
    <row r="10" spans="1:6" x14ac:dyDescent="0.25">
      <c r="A10" t="s">
        <v>27</v>
      </c>
      <c r="B10" t="s">
        <v>28</v>
      </c>
      <c r="C10" t="s">
        <v>879</v>
      </c>
      <c r="D10" t="s">
        <v>870</v>
      </c>
      <c r="E10" t="s">
        <v>871</v>
      </c>
      <c r="F10" t="s">
        <v>587</v>
      </c>
    </row>
    <row r="11" spans="1:6" x14ac:dyDescent="0.25">
      <c r="A11" t="s">
        <v>29</v>
      </c>
      <c r="B11" t="s">
        <v>30</v>
      </c>
      <c r="C11" t="s">
        <v>880</v>
      </c>
      <c r="D11" t="s">
        <v>881</v>
      </c>
      <c r="E11" t="s">
        <v>882</v>
      </c>
      <c r="F11" t="s">
        <v>587</v>
      </c>
    </row>
    <row r="12" spans="1:6" x14ac:dyDescent="0.25">
      <c r="A12" t="s">
        <v>33</v>
      </c>
      <c r="B12" t="s">
        <v>34</v>
      </c>
      <c r="C12" t="s">
        <v>883</v>
      </c>
      <c r="D12" t="s">
        <v>870</v>
      </c>
      <c r="E12" t="s">
        <v>871</v>
      </c>
      <c r="F12" t="s">
        <v>587</v>
      </c>
    </row>
    <row r="13" spans="1:6" x14ac:dyDescent="0.25">
      <c r="A13" t="s">
        <v>36</v>
      </c>
      <c r="B13" t="s">
        <v>37</v>
      </c>
      <c r="C13" t="s">
        <v>884</v>
      </c>
      <c r="D13" t="s">
        <v>870</v>
      </c>
      <c r="E13" t="s">
        <v>871</v>
      </c>
      <c r="F13" t="s">
        <v>587</v>
      </c>
    </row>
    <row r="14" spans="1:6" x14ac:dyDescent="0.25">
      <c r="A14" t="s">
        <v>40</v>
      </c>
      <c r="B14" t="s">
        <v>41</v>
      </c>
      <c r="C14" t="s">
        <v>885</v>
      </c>
      <c r="D14" t="s">
        <v>870</v>
      </c>
      <c r="E14" t="s">
        <v>871</v>
      </c>
      <c r="F14" t="s">
        <v>587</v>
      </c>
    </row>
    <row r="15" spans="1:6" x14ac:dyDescent="0.25">
      <c r="A15" t="s">
        <v>44</v>
      </c>
      <c r="B15" t="s">
        <v>45</v>
      </c>
      <c r="C15" t="s">
        <v>886</v>
      </c>
      <c r="D15" t="s">
        <v>870</v>
      </c>
      <c r="E15" t="s">
        <v>871</v>
      </c>
      <c r="F15" t="s">
        <v>587</v>
      </c>
    </row>
    <row r="16" spans="1:6" x14ac:dyDescent="0.25">
      <c r="A16" t="s">
        <v>48</v>
      </c>
      <c r="B16" t="s">
        <v>49</v>
      </c>
      <c r="C16" t="s">
        <v>887</v>
      </c>
      <c r="D16" t="s">
        <v>870</v>
      </c>
      <c r="E16" t="s">
        <v>871</v>
      </c>
      <c r="F16" t="s">
        <v>587</v>
      </c>
    </row>
    <row r="17" spans="1:6" x14ac:dyDescent="0.25">
      <c r="A17" t="s">
        <v>51</v>
      </c>
      <c r="B17" t="s">
        <v>52</v>
      </c>
      <c r="C17" t="s">
        <v>888</v>
      </c>
      <c r="D17" t="s">
        <v>870</v>
      </c>
      <c r="E17" t="s">
        <v>871</v>
      </c>
      <c r="F17" t="s">
        <v>587</v>
      </c>
    </row>
    <row r="18" spans="1:6" x14ac:dyDescent="0.25">
      <c r="A18" t="s">
        <v>54</v>
      </c>
      <c r="B18" t="s">
        <v>55</v>
      </c>
      <c r="C18" t="s">
        <v>889</v>
      </c>
      <c r="D18" t="s">
        <v>870</v>
      </c>
      <c r="E18" t="s">
        <v>871</v>
      </c>
      <c r="F18" t="s">
        <v>587</v>
      </c>
    </row>
    <row r="19" spans="1:6" x14ac:dyDescent="0.25">
      <c r="A19" t="s">
        <v>57</v>
      </c>
      <c r="B19" t="s">
        <v>58</v>
      </c>
      <c r="C19" t="s">
        <v>890</v>
      </c>
      <c r="D19" t="s">
        <v>870</v>
      </c>
      <c r="E19" t="s">
        <v>871</v>
      </c>
      <c r="F19" t="s">
        <v>791</v>
      </c>
    </row>
    <row r="20" spans="1:6" x14ac:dyDescent="0.25">
      <c r="A20" t="s">
        <v>61</v>
      </c>
      <c r="B20" t="s">
        <v>62</v>
      </c>
      <c r="C20" t="s">
        <v>891</v>
      </c>
      <c r="D20" t="s">
        <v>870</v>
      </c>
      <c r="E20" t="s">
        <v>871</v>
      </c>
      <c r="F20" t="s">
        <v>791</v>
      </c>
    </row>
    <row r="21" spans="1:6" x14ac:dyDescent="0.25">
      <c r="A21" t="s">
        <v>64</v>
      </c>
      <c r="B21" t="s">
        <v>65</v>
      </c>
      <c r="C21" t="s">
        <v>892</v>
      </c>
      <c r="D21" t="s">
        <v>870</v>
      </c>
      <c r="E21" t="s">
        <v>871</v>
      </c>
      <c r="F21" t="s">
        <v>791</v>
      </c>
    </row>
    <row r="22" spans="1:6" x14ac:dyDescent="0.25">
      <c r="A22" t="s">
        <v>67</v>
      </c>
      <c r="B22" t="s">
        <v>68</v>
      </c>
      <c r="C22" t="s">
        <v>893</v>
      </c>
      <c r="D22" t="s">
        <v>870</v>
      </c>
      <c r="E22" t="s">
        <v>871</v>
      </c>
      <c r="F22" t="s">
        <v>791</v>
      </c>
    </row>
    <row r="23" spans="1:6" x14ac:dyDescent="0.25">
      <c r="A23" t="s">
        <v>70</v>
      </c>
      <c r="B23" t="s">
        <v>71</v>
      </c>
      <c r="C23" t="s">
        <v>894</v>
      </c>
      <c r="D23" t="s">
        <v>870</v>
      </c>
      <c r="E23" t="s">
        <v>871</v>
      </c>
      <c r="F23" t="s">
        <v>791</v>
      </c>
    </row>
    <row r="24" spans="1:6" x14ac:dyDescent="0.25">
      <c r="A24" t="s">
        <v>72</v>
      </c>
      <c r="B24" t="s">
        <v>73</v>
      </c>
      <c r="C24" t="s">
        <v>895</v>
      </c>
      <c r="D24" t="s">
        <v>870</v>
      </c>
      <c r="E24" t="s">
        <v>871</v>
      </c>
      <c r="F24" t="s">
        <v>791</v>
      </c>
    </row>
    <row r="25" spans="1:6" x14ac:dyDescent="0.25">
      <c r="A25" t="s">
        <v>75</v>
      </c>
      <c r="B25" t="s">
        <v>76</v>
      </c>
      <c r="C25" t="s">
        <v>896</v>
      </c>
      <c r="D25" t="s">
        <v>870</v>
      </c>
      <c r="E25" t="s">
        <v>871</v>
      </c>
      <c r="F25" t="s">
        <v>791</v>
      </c>
    </row>
    <row r="26" spans="1:6" x14ac:dyDescent="0.25">
      <c r="A26" t="s">
        <v>78</v>
      </c>
      <c r="B26" t="s">
        <v>79</v>
      </c>
      <c r="C26" t="s">
        <v>897</v>
      </c>
      <c r="D26" t="s">
        <v>870</v>
      </c>
      <c r="E26" t="s">
        <v>871</v>
      </c>
      <c r="F26" t="s">
        <v>791</v>
      </c>
    </row>
    <row r="27" spans="1:6" x14ac:dyDescent="0.25">
      <c r="A27" t="s">
        <v>82</v>
      </c>
      <c r="B27" t="s">
        <v>83</v>
      </c>
      <c r="C27" t="s">
        <v>898</v>
      </c>
      <c r="D27" t="s">
        <v>870</v>
      </c>
      <c r="E27" t="s">
        <v>871</v>
      </c>
      <c r="F27" t="s">
        <v>791</v>
      </c>
    </row>
    <row r="28" spans="1:6" x14ac:dyDescent="0.25">
      <c r="A28" t="s">
        <v>86</v>
      </c>
      <c r="B28" t="s">
        <v>87</v>
      </c>
      <c r="C28" t="s">
        <v>899</v>
      </c>
      <c r="D28" t="s">
        <v>870</v>
      </c>
      <c r="E28" t="s">
        <v>871</v>
      </c>
      <c r="F28" t="s">
        <v>793</v>
      </c>
    </row>
    <row r="29" spans="1:6" x14ac:dyDescent="0.25">
      <c r="A29" t="s">
        <v>90</v>
      </c>
      <c r="B29" t="s">
        <v>91</v>
      </c>
      <c r="C29" t="s">
        <v>900</v>
      </c>
      <c r="D29" t="s">
        <v>870</v>
      </c>
      <c r="E29" t="s">
        <v>871</v>
      </c>
      <c r="F29" t="s">
        <v>793</v>
      </c>
    </row>
    <row r="30" spans="1:6" x14ac:dyDescent="0.25">
      <c r="A30" t="s">
        <v>94</v>
      </c>
      <c r="B30" t="s">
        <v>95</v>
      </c>
      <c r="C30" t="s">
        <v>901</v>
      </c>
      <c r="D30" t="s">
        <v>870</v>
      </c>
      <c r="E30" t="s">
        <v>871</v>
      </c>
      <c r="F30" t="s">
        <v>793</v>
      </c>
    </row>
    <row r="31" spans="1:6" x14ac:dyDescent="0.25">
      <c r="A31" t="s">
        <v>97</v>
      </c>
      <c r="B31" t="s">
        <v>98</v>
      </c>
      <c r="C31" t="s">
        <v>902</v>
      </c>
      <c r="D31" t="s">
        <v>870</v>
      </c>
      <c r="E31" t="s">
        <v>871</v>
      </c>
      <c r="F31" t="s">
        <v>793</v>
      </c>
    </row>
    <row r="32" spans="1:6" x14ac:dyDescent="0.25">
      <c r="A32" t="s">
        <v>100</v>
      </c>
      <c r="B32" t="s">
        <v>101</v>
      </c>
      <c r="C32" t="s">
        <v>903</v>
      </c>
      <c r="D32" t="s">
        <v>870</v>
      </c>
      <c r="E32" t="s">
        <v>871</v>
      </c>
      <c r="F32" t="s">
        <v>793</v>
      </c>
    </row>
    <row r="33" spans="1:6" x14ac:dyDescent="0.25">
      <c r="A33" t="s">
        <v>103</v>
      </c>
      <c r="B33" t="s">
        <v>104</v>
      </c>
      <c r="C33" t="s">
        <v>904</v>
      </c>
      <c r="D33" t="s">
        <v>870</v>
      </c>
      <c r="E33" t="s">
        <v>871</v>
      </c>
      <c r="F33" t="s">
        <v>793</v>
      </c>
    </row>
    <row r="34" spans="1:6" x14ac:dyDescent="0.25">
      <c r="A34" t="s">
        <v>107</v>
      </c>
      <c r="B34" t="s">
        <v>108</v>
      </c>
      <c r="C34" t="s">
        <v>905</v>
      </c>
      <c r="D34" t="s">
        <v>870</v>
      </c>
      <c r="E34" t="s">
        <v>871</v>
      </c>
      <c r="F34" t="s">
        <v>793</v>
      </c>
    </row>
    <row r="35" spans="1:6" x14ac:dyDescent="0.25">
      <c r="A35" t="s">
        <v>110</v>
      </c>
      <c r="B35" t="s">
        <v>111</v>
      </c>
      <c r="C35" t="s">
        <v>906</v>
      </c>
      <c r="D35" t="s">
        <v>870</v>
      </c>
      <c r="E35" t="s">
        <v>871</v>
      </c>
      <c r="F35" t="s">
        <v>793</v>
      </c>
    </row>
    <row r="36" spans="1:6" x14ac:dyDescent="0.25">
      <c r="A36" t="s">
        <v>114</v>
      </c>
      <c r="B36" t="s">
        <v>115</v>
      </c>
      <c r="C36" t="s">
        <v>907</v>
      </c>
      <c r="D36" t="s">
        <v>870</v>
      </c>
      <c r="E36" t="s">
        <v>871</v>
      </c>
      <c r="F36" t="s">
        <v>793</v>
      </c>
    </row>
    <row r="37" spans="1:6" x14ac:dyDescent="0.25">
      <c r="A37" t="s">
        <v>118</v>
      </c>
      <c r="B37" t="s">
        <v>119</v>
      </c>
      <c r="C37" t="s">
        <v>908</v>
      </c>
      <c r="D37" t="s">
        <v>870</v>
      </c>
      <c r="E37" t="s">
        <v>871</v>
      </c>
      <c r="F37" t="s">
        <v>793</v>
      </c>
    </row>
    <row r="38" spans="1:6" x14ac:dyDescent="0.25">
      <c r="A38" t="s">
        <v>122</v>
      </c>
      <c r="B38" t="s">
        <v>123</v>
      </c>
      <c r="C38" t="s">
        <v>909</v>
      </c>
      <c r="D38" t="s">
        <v>870</v>
      </c>
      <c r="E38" t="s">
        <v>871</v>
      </c>
      <c r="F38" t="s">
        <v>795</v>
      </c>
    </row>
    <row r="39" spans="1:6" x14ac:dyDescent="0.25">
      <c r="A39" t="s">
        <v>126</v>
      </c>
      <c r="B39" t="s">
        <v>127</v>
      </c>
      <c r="C39" t="s">
        <v>910</v>
      </c>
      <c r="D39" t="s">
        <v>870</v>
      </c>
      <c r="E39" t="s">
        <v>871</v>
      </c>
      <c r="F39" t="s">
        <v>795</v>
      </c>
    </row>
    <row r="40" spans="1:6" x14ac:dyDescent="0.25">
      <c r="A40" t="s">
        <v>129</v>
      </c>
      <c r="B40" t="s">
        <v>130</v>
      </c>
      <c r="C40" t="s">
        <v>911</v>
      </c>
      <c r="D40" t="s">
        <v>870</v>
      </c>
      <c r="E40" t="s">
        <v>871</v>
      </c>
      <c r="F40" t="s">
        <v>795</v>
      </c>
    </row>
    <row r="41" spans="1:6" x14ac:dyDescent="0.25">
      <c r="A41" t="s">
        <v>132</v>
      </c>
      <c r="B41" t="s">
        <v>133</v>
      </c>
      <c r="C41" t="s">
        <v>912</v>
      </c>
      <c r="D41" t="s">
        <v>870</v>
      </c>
      <c r="E41" t="s">
        <v>871</v>
      </c>
      <c r="F41" t="s">
        <v>795</v>
      </c>
    </row>
    <row r="42" spans="1:6" x14ac:dyDescent="0.25">
      <c r="A42" t="s">
        <v>135</v>
      </c>
      <c r="B42" t="s">
        <v>136</v>
      </c>
      <c r="C42" t="s">
        <v>913</v>
      </c>
      <c r="D42" t="s">
        <v>870</v>
      </c>
      <c r="E42" t="s">
        <v>871</v>
      </c>
      <c r="F42" t="s">
        <v>795</v>
      </c>
    </row>
    <row r="43" spans="1:6" x14ac:dyDescent="0.25">
      <c r="A43" t="s">
        <v>138</v>
      </c>
      <c r="B43" t="s">
        <v>139</v>
      </c>
      <c r="C43" t="s">
        <v>914</v>
      </c>
      <c r="D43" t="s">
        <v>870</v>
      </c>
      <c r="E43" t="s">
        <v>871</v>
      </c>
      <c r="F43" t="s">
        <v>795</v>
      </c>
    </row>
    <row r="44" spans="1:6" x14ac:dyDescent="0.25">
      <c r="A44" t="s">
        <v>141</v>
      </c>
      <c r="B44" t="s">
        <v>142</v>
      </c>
      <c r="C44" t="s">
        <v>915</v>
      </c>
      <c r="D44" t="s">
        <v>870</v>
      </c>
      <c r="E44" t="s">
        <v>871</v>
      </c>
      <c r="F44" t="s">
        <v>795</v>
      </c>
    </row>
    <row r="45" spans="1:6" x14ac:dyDescent="0.25">
      <c r="A45" t="s">
        <v>144</v>
      </c>
      <c r="B45" t="s">
        <v>145</v>
      </c>
      <c r="C45" t="s">
        <v>916</v>
      </c>
      <c r="D45" t="s">
        <v>870</v>
      </c>
      <c r="E45" t="s">
        <v>871</v>
      </c>
      <c r="F45" t="s">
        <v>797</v>
      </c>
    </row>
    <row r="46" spans="1:6" x14ac:dyDescent="0.25">
      <c r="A46" t="s">
        <v>148</v>
      </c>
      <c r="B46" t="s">
        <v>149</v>
      </c>
      <c r="C46" t="s">
        <v>917</v>
      </c>
      <c r="D46" t="s">
        <v>870</v>
      </c>
      <c r="E46" t="s">
        <v>871</v>
      </c>
      <c r="F46" t="s">
        <v>797</v>
      </c>
    </row>
    <row r="47" spans="1:6" x14ac:dyDescent="0.25">
      <c r="A47" t="s">
        <v>152</v>
      </c>
      <c r="B47" t="s">
        <v>153</v>
      </c>
      <c r="C47" t="s">
        <v>918</v>
      </c>
      <c r="D47" t="s">
        <v>870</v>
      </c>
      <c r="E47" t="s">
        <v>871</v>
      </c>
      <c r="F47" t="s">
        <v>797</v>
      </c>
    </row>
    <row r="48" spans="1:6" x14ac:dyDescent="0.25">
      <c r="A48" t="s">
        <v>155</v>
      </c>
      <c r="B48" t="s">
        <v>156</v>
      </c>
      <c r="C48" t="s">
        <v>919</v>
      </c>
      <c r="D48" t="s">
        <v>870</v>
      </c>
      <c r="E48" t="s">
        <v>871</v>
      </c>
      <c r="F48" t="s">
        <v>797</v>
      </c>
    </row>
    <row r="49" spans="1:6" x14ac:dyDescent="0.25">
      <c r="A49" t="s">
        <v>159</v>
      </c>
      <c r="B49" t="s">
        <v>160</v>
      </c>
      <c r="C49" t="s">
        <v>920</v>
      </c>
      <c r="D49" t="s">
        <v>870</v>
      </c>
      <c r="E49" t="s">
        <v>871</v>
      </c>
      <c r="F49" t="s">
        <v>797</v>
      </c>
    </row>
    <row r="50" spans="1:6" x14ac:dyDescent="0.25">
      <c r="A50" t="s">
        <v>163</v>
      </c>
      <c r="B50" t="s">
        <v>164</v>
      </c>
      <c r="C50" t="s">
        <v>921</v>
      </c>
      <c r="D50" t="s">
        <v>870</v>
      </c>
      <c r="E50" t="s">
        <v>871</v>
      </c>
      <c r="F50" t="s">
        <v>797</v>
      </c>
    </row>
    <row r="51" spans="1:6" x14ac:dyDescent="0.25">
      <c r="A51" t="s">
        <v>167</v>
      </c>
      <c r="B51" t="s">
        <v>168</v>
      </c>
      <c r="C51" t="s">
        <v>922</v>
      </c>
      <c r="D51" t="s">
        <v>870</v>
      </c>
      <c r="E51" t="s">
        <v>871</v>
      </c>
      <c r="F51" t="s">
        <v>797</v>
      </c>
    </row>
    <row r="52" spans="1:6" x14ac:dyDescent="0.25">
      <c r="A52" t="s">
        <v>171</v>
      </c>
      <c r="B52" t="s">
        <v>172</v>
      </c>
      <c r="C52" t="s">
        <v>923</v>
      </c>
      <c r="D52" t="s">
        <v>870</v>
      </c>
      <c r="E52" t="s">
        <v>871</v>
      </c>
      <c r="F52" t="s">
        <v>798</v>
      </c>
    </row>
    <row r="53" spans="1:6" x14ac:dyDescent="0.25">
      <c r="A53" t="s">
        <v>175</v>
      </c>
      <c r="B53" t="s">
        <v>176</v>
      </c>
      <c r="C53" t="s">
        <v>924</v>
      </c>
      <c r="D53" t="s">
        <v>870</v>
      </c>
      <c r="E53" t="s">
        <v>871</v>
      </c>
      <c r="F53" t="s">
        <v>798</v>
      </c>
    </row>
    <row r="54" spans="1:6" x14ac:dyDescent="0.25">
      <c r="A54" t="s">
        <v>178</v>
      </c>
      <c r="B54" t="s">
        <v>179</v>
      </c>
      <c r="C54" t="s">
        <v>925</v>
      </c>
      <c r="D54" t="s">
        <v>881</v>
      </c>
      <c r="E54" t="s">
        <v>926</v>
      </c>
      <c r="F54" t="s">
        <v>798</v>
      </c>
    </row>
    <row r="55" spans="1:6" x14ac:dyDescent="0.25">
      <c r="A55" t="s">
        <v>181</v>
      </c>
      <c r="B55" t="s">
        <v>182</v>
      </c>
      <c r="C55" t="s">
        <v>927</v>
      </c>
      <c r="D55" t="s">
        <v>881</v>
      </c>
      <c r="E55" t="s">
        <v>928</v>
      </c>
      <c r="F55" t="s">
        <v>798</v>
      </c>
    </row>
    <row r="56" spans="1:6" x14ac:dyDescent="0.25">
      <c r="A56" t="s">
        <v>184</v>
      </c>
      <c r="B56" t="s">
        <v>185</v>
      </c>
      <c r="C56" t="s">
        <v>929</v>
      </c>
      <c r="D56" t="s">
        <v>881</v>
      </c>
      <c r="E56" t="s">
        <v>930</v>
      </c>
      <c r="F56" t="s">
        <v>798</v>
      </c>
    </row>
    <row r="57" spans="1:6" x14ac:dyDescent="0.25">
      <c r="A57" t="s">
        <v>187</v>
      </c>
      <c r="B57" t="s">
        <v>188</v>
      </c>
      <c r="C57" t="s">
        <v>931</v>
      </c>
      <c r="D57" t="s">
        <v>881</v>
      </c>
      <c r="E57" t="s">
        <v>932</v>
      </c>
      <c r="F57" t="s">
        <v>798</v>
      </c>
    </row>
    <row r="58" spans="1:6" x14ac:dyDescent="0.25">
      <c r="A58" t="s">
        <v>190</v>
      </c>
      <c r="B58" t="s">
        <v>191</v>
      </c>
      <c r="C58" t="s">
        <v>933</v>
      </c>
      <c r="D58" t="s">
        <v>881</v>
      </c>
      <c r="E58" t="s">
        <v>934</v>
      </c>
      <c r="F58" t="s">
        <v>799</v>
      </c>
    </row>
    <row r="59" spans="1:6" x14ac:dyDescent="0.25">
      <c r="A59" t="s">
        <v>194</v>
      </c>
      <c r="B59" t="s">
        <v>195</v>
      </c>
      <c r="C59" t="s">
        <v>935</v>
      </c>
      <c r="D59" t="s">
        <v>881</v>
      </c>
      <c r="E59" t="s">
        <v>936</v>
      </c>
      <c r="F59" t="s">
        <v>799</v>
      </c>
    </row>
    <row r="60" spans="1:6" x14ac:dyDescent="0.25">
      <c r="A60" t="s">
        <v>197</v>
      </c>
      <c r="B60" t="s">
        <v>198</v>
      </c>
      <c r="C60" t="s">
        <v>931</v>
      </c>
      <c r="D60" t="s">
        <v>881</v>
      </c>
      <c r="E60" t="s">
        <v>937</v>
      </c>
      <c r="F60" t="s">
        <v>799</v>
      </c>
    </row>
    <row r="61" spans="1:6" x14ac:dyDescent="0.25">
      <c r="A61" t="s">
        <v>200</v>
      </c>
      <c r="B61" t="s">
        <v>201</v>
      </c>
      <c r="C61" t="s">
        <v>938</v>
      </c>
      <c r="D61" t="s">
        <v>881</v>
      </c>
      <c r="E61" t="s">
        <v>939</v>
      </c>
      <c r="F61" t="s">
        <v>799</v>
      </c>
    </row>
    <row r="62" spans="1:6" x14ac:dyDescent="0.25">
      <c r="A62" t="s">
        <v>203</v>
      </c>
      <c r="B62" t="s">
        <v>204</v>
      </c>
      <c r="C62" t="s">
        <v>940</v>
      </c>
      <c r="D62" t="s">
        <v>870</v>
      </c>
      <c r="E62" t="s">
        <v>871</v>
      </c>
      <c r="F62" t="s">
        <v>800</v>
      </c>
    </row>
    <row r="63" spans="1:6" x14ac:dyDescent="0.25">
      <c r="A63" t="s">
        <v>207</v>
      </c>
      <c r="B63" t="s">
        <v>208</v>
      </c>
      <c r="C63" t="s">
        <v>941</v>
      </c>
      <c r="D63" t="s">
        <v>881</v>
      </c>
      <c r="E63" t="s">
        <v>942</v>
      </c>
      <c r="F63" t="s">
        <v>800</v>
      </c>
    </row>
    <row r="64" spans="1:6" x14ac:dyDescent="0.25">
      <c r="A64" t="s">
        <v>210</v>
      </c>
      <c r="B64" t="s">
        <v>211</v>
      </c>
      <c r="C64" t="s">
        <v>943</v>
      </c>
      <c r="D64" t="s">
        <v>881</v>
      </c>
      <c r="E64" t="s">
        <v>944</v>
      </c>
      <c r="F64" t="s">
        <v>800</v>
      </c>
    </row>
    <row r="65" spans="1:6" x14ac:dyDescent="0.25">
      <c r="A65" t="s">
        <v>213</v>
      </c>
      <c r="B65" t="s">
        <v>214</v>
      </c>
      <c r="C65" t="s">
        <v>945</v>
      </c>
      <c r="D65" t="s">
        <v>881</v>
      </c>
      <c r="E65" t="s">
        <v>946</v>
      </c>
      <c r="F65" t="s">
        <v>800</v>
      </c>
    </row>
    <row r="66" spans="1:6" x14ac:dyDescent="0.25">
      <c r="A66" t="s">
        <v>216</v>
      </c>
      <c r="B66" t="s">
        <v>217</v>
      </c>
      <c r="C66" t="s">
        <v>947</v>
      </c>
      <c r="D66" t="s">
        <v>881</v>
      </c>
      <c r="E66" t="s">
        <v>948</v>
      </c>
      <c r="F66" t="s">
        <v>800</v>
      </c>
    </row>
    <row r="67" spans="1:6" x14ac:dyDescent="0.25">
      <c r="A67" t="s">
        <v>219</v>
      </c>
      <c r="B67" t="s">
        <v>220</v>
      </c>
      <c r="C67" t="s">
        <v>949</v>
      </c>
      <c r="D67" t="s">
        <v>870</v>
      </c>
      <c r="E67" t="s">
        <v>871</v>
      </c>
      <c r="F67" t="s">
        <v>800</v>
      </c>
    </row>
    <row r="68" spans="1:6" x14ac:dyDescent="0.25">
      <c r="A68" t="s">
        <v>223</v>
      </c>
      <c r="B68" t="s">
        <v>224</v>
      </c>
      <c r="C68" t="s">
        <v>950</v>
      </c>
      <c r="D68" t="s">
        <v>870</v>
      </c>
      <c r="E68" t="s">
        <v>871</v>
      </c>
      <c r="F68" t="s">
        <v>801</v>
      </c>
    </row>
    <row r="69" spans="1:6" x14ac:dyDescent="0.25">
      <c r="A69" t="s">
        <v>227</v>
      </c>
      <c r="B69" t="s">
        <v>228</v>
      </c>
      <c r="C69" t="s">
        <v>951</v>
      </c>
      <c r="D69" t="s">
        <v>870</v>
      </c>
      <c r="E69" t="s">
        <v>871</v>
      </c>
      <c r="F69" t="s">
        <v>801</v>
      </c>
    </row>
    <row r="70" spans="1:6" x14ac:dyDescent="0.25">
      <c r="A70" t="s">
        <v>230</v>
      </c>
      <c r="B70" t="s">
        <v>231</v>
      </c>
      <c r="C70" t="s">
        <v>952</v>
      </c>
      <c r="D70" t="s">
        <v>870</v>
      </c>
      <c r="E70" t="s">
        <v>871</v>
      </c>
      <c r="F70" t="s">
        <v>801</v>
      </c>
    </row>
    <row r="71" spans="1:6" x14ac:dyDescent="0.25">
      <c r="A71" t="s">
        <v>233</v>
      </c>
      <c r="B71" t="s">
        <v>234</v>
      </c>
      <c r="C71" t="s">
        <v>953</v>
      </c>
      <c r="D71" t="s">
        <v>870</v>
      </c>
      <c r="E71" t="s">
        <v>871</v>
      </c>
      <c r="F71" t="s">
        <v>801</v>
      </c>
    </row>
    <row r="72" spans="1:6" x14ac:dyDescent="0.25">
      <c r="A72" t="s">
        <v>236</v>
      </c>
      <c r="B72" t="s">
        <v>237</v>
      </c>
      <c r="C72" t="s">
        <v>954</v>
      </c>
      <c r="D72" t="s">
        <v>870</v>
      </c>
      <c r="E72" t="s">
        <v>871</v>
      </c>
      <c r="F72" t="s">
        <v>801</v>
      </c>
    </row>
    <row r="73" spans="1:6" x14ac:dyDescent="0.25">
      <c r="A73" t="s">
        <v>239</v>
      </c>
      <c r="B73" t="s">
        <v>240</v>
      </c>
      <c r="C73" t="s">
        <v>955</v>
      </c>
      <c r="D73" t="s">
        <v>870</v>
      </c>
      <c r="E73" t="s">
        <v>871</v>
      </c>
      <c r="F73" t="s">
        <v>801</v>
      </c>
    </row>
    <row r="74" spans="1:6" x14ac:dyDescent="0.25">
      <c r="A74" t="s">
        <v>242</v>
      </c>
      <c r="B74" t="s">
        <v>243</v>
      </c>
      <c r="C74" t="s">
        <v>956</v>
      </c>
      <c r="D74" t="s">
        <v>870</v>
      </c>
      <c r="E74" t="s">
        <v>871</v>
      </c>
      <c r="F74" t="s">
        <v>801</v>
      </c>
    </row>
    <row r="75" spans="1:6" x14ac:dyDescent="0.25">
      <c r="A75" t="s">
        <v>245</v>
      </c>
      <c r="B75" t="s">
        <v>246</v>
      </c>
      <c r="C75" t="s">
        <v>957</v>
      </c>
      <c r="D75" t="s">
        <v>870</v>
      </c>
      <c r="E75" t="s">
        <v>871</v>
      </c>
      <c r="F75" t="s">
        <v>801</v>
      </c>
    </row>
    <row r="76" spans="1:6" x14ac:dyDescent="0.25">
      <c r="A76" t="s">
        <v>248</v>
      </c>
      <c r="B76" t="s">
        <v>249</v>
      </c>
      <c r="C76" t="s">
        <v>958</v>
      </c>
      <c r="D76" t="s">
        <v>870</v>
      </c>
      <c r="E76" t="s">
        <v>871</v>
      </c>
      <c r="F76" t="s">
        <v>801</v>
      </c>
    </row>
    <row r="77" spans="1:6" x14ac:dyDescent="0.25">
      <c r="A77" t="s">
        <v>251</v>
      </c>
      <c r="B77" t="s">
        <v>252</v>
      </c>
      <c r="C77" t="s">
        <v>959</v>
      </c>
      <c r="D77" t="s">
        <v>881</v>
      </c>
      <c r="E77" t="s">
        <v>960</v>
      </c>
      <c r="F77" t="s">
        <v>802</v>
      </c>
    </row>
    <row r="78" spans="1:6" x14ac:dyDescent="0.25">
      <c r="A78" t="s">
        <v>255</v>
      </c>
      <c r="B78" t="s">
        <v>256</v>
      </c>
      <c r="C78" t="s">
        <v>961</v>
      </c>
      <c r="D78" t="s">
        <v>881</v>
      </c>
      <c r="E78" t="s">
        <v>960</v>
      </c>
      <c r="F78" t="s">
        <v>802</v>
      </c>
    </row>
    <row r="79" spans="1:6" x14ac:dyDescent="0.25">
      <c r="A79" t="s">
        <v>257</v>
      </c>
      <c r="B79" t="s">
        <v>258</v>
      </c>
      <c r="C79" t="s">
        <v>962</v>
      </c>
      <c r="D79" t="s">
        <v>881</v>
      </c>
      <c r="E79" t="s">
        <v>960</v>
      </c>
      <c r="F79" t="s">
        <v>802</v>
      </c>
    </row>
    <row r="80" spans="1:6" x14ac:dyDescent="0.25">
      <c r="A80" t="s">
        <v>260</v>
      </c>
      <c r="B80" t="s">
        <v>261</v>
      </c>
      <c r="C80" t="s">
        <v>963</v>
      </c>
      <c r="D80" t="s">
        <v>881</v>
      </c>
      <c r="E80" t="s">
        <v>960</v>
      </c>
      <c r="F80" t="s">
        <v>802</v>
      </c>
    </row>
    <row r="81" spans="1:6" x14ac:dyDescent="0.25">
      <c r="A81" t="s">
        <v>262</v>
      </c>
      <c r="B81" t="s">
        <v>263</v>
      </c>
      <c r="C81" t="s">
        <v>964</v>
      </c>
      <c r="D81" t="s">
        <v>881</v>
      </c>
      <c r="E81" t="s">
        <v>960</v>
      </c>
      <c r="F81" t="s">
        <v>802</v>
      </c>
    </row>
    <row r="82" spans="1:6" x14ac:dyDescent="0.25">
      <c r="A82" t="s">
        <v>264</v>
      </c>
      <c r="B82" t="s">
        <v>265</v>
      </c>
      <c r="C82" t="s">
        <v>965</v>
      </c>
      <c r="D82" t="s">
        <v>881</v>
      </c>
      <c r="E82" t="s">
        <v>960</v>
      </c>
      <c r="F82" t="s">
        <v>802</v>
      </c>
    </row>
    <row r="83" spans="1:6" x14ac:dyDescent="0.25">
      <c r="A83" t="s">
        <v>268</v>
      </c>
      <c r="B83" t="s">
        <v>269</v>
      </c>
      <c r="C83" t="s">
        <v>966</v>
      </c>
      <c r="D83" t="s">
        <v>881</v>
      </c>
      <c r="E83" t="s">
        <v>960</v>
      </c>
      <c r="F83" t="s">
        <v>802</v>
      </c>
    </row>
    <row r="84" spans="1:6" x14ac:dyDescent="0.25">
      <c r="A84" t="s">
        <v>271</v>
      </c>
      <c r="B84" t="s">
        <v>272</v>
      </c>
      <c r="C84" t="s">
        <v>967</v>
      </c>
      <c r="D84" t="s">
        <v>881</v>
      </c>
      <c r="E84" t="s">
        <v>960</v>
      </c>
      <c r="F84" t="s">
        <v>802</v>
      </c>
    </row>
    <row r="85" spans="1:6" x14ac:dyDescent="0.25">
      <c r="A85" t="s">
        <v>275</v>
      </c>
      <c r="B85" t="s">
        <v>276</v>
      </c>
      <c r="C85" t="s">
        <v>968</v>
      </c>
      <c r="D85" t="s">
        <v>881</v>
      </c>
      <c r="E85" t="s">
        <v>960</v>
      </c>
      <c r="F85" t="s">
        <v>802</v>
      </c>
    </row>
    <row r="86" spans="1:6" x14ac:dyDescent="0.25">
      <c r="A86" t="s">
        <v>279</v>
      </c>
      <c r="B86" t="s">
        <v>280</v>
      </c>
      <c r="C86" t="s">
        <v>969</v>
      </c>
      <c r="D86" t="s">
        <v>881</v>
      </c>
      <c r="E86" t="s">
        <v>960</v>
      </c>
      <c r="F86" t="s">
        <v>802</v>
      </c>
    </row>
    <row r="87" spans="1:6" x14ac:dyDescent="0.25">
      <c r="A87" t="s">
        <v>283</v>
      </c>
      <c r="B87" t="s">
        <v>284</v>
      </c>
      <c r="C87" t="s">
        <v>970</v>
      </c>
      <c r="D87" t="s">
        <v>881</v>
      </c>
      <c r="E87" t="s">
        <v>960</v>
      </c>
      <c r="F87" t="s">
        <v>802</v>
      </c>
    </row>
    <row r="88" spans="1:6" x14ac:dyDescent="0.25">
      <c r="A88" t="s">
        <v>287</v>
      </c>
      <c r="B88" t="s">
        <v>288</v>
      </c>
      <c r="C88" t="s">
        <v>971</v>
      </c>
      <c r="D88" t="s">
        <v>881</v>
      </c>
      <c r="E88" t="s">
        <v>960</v>
      </c>
      <c r="F88" t="s">
        <v>802</v>
      </c>
    </row>
    <row r="89" spans="1:6" x14ac:dyDescent="0.25">
      <c r="A89" t="s">
        <v>290</v>
      </c>
      <c r="B89" t="s">
        <v>291</v>
      </c>
      <c r="C89" t="s">
        <v>971</v>
      </c>
      <c r="D89" t="s">
        <v>881</v>
      </c>
      <c r="E89" t="s">
        <v>960</v>
      </c>
      <c r="F89" t="s">
        <v>802</v>
      </c>
    </row>
    <row r="90" spans="1:6" x14ac:dyDescent="0.25">
      <c r="A90" t="s">
        <v>293</v>
      </c>
      <c r="B90" t="s">
        <v>294</v>
      </c>
      <c r="C90" t="s">
        <v>972</v>
      </c>
      <c r="D90" t="s">
        <v>881</v>
      </c>
      <c r="E90" t="s">
        <v>960</v>
      </c>
      <c r="F90" t="s">
        <v>802</v>
      </c>
    </row>
    <row r="91" spans="1:6" x14ac:dyDescent="0.25">
      <c r="A91" t="s">
        <v>296</v>
      </c>
      <c r="B91" t="s">
        <v>297</v>
      </c>
      <c r="C91" t="s">
        <v>973</v>
      </c>
      <c r="D91" t="s">
        <v>881</v>
      </c>
      <c r="E91" t="s">
        <v>960</v>
      </c>
      <c r="F91" t="s">
        <v>802</v>
      </c>
    </row>
    <row r="92" spans="1:6" x14ac:dyDescent="0.25">
      <c r="A92" t="s">
        <v>299</v>
      </c>
      <c r="B92" t="s">
        <v>300</v>
      </c>
      <c r="C92" t="s">
        <v>974</v>
      </c>
      <c r="D92" t="s">
        <v>870</v>
      </c>
      <c r="E92" t="s">
        <v>871</v>
      </c>
      <c r="F92" t="s">
        <v>807</v>
      </c>
    </row>
    <row r="93" spans="1:6" x14ac:dyDescent="0.25">
      <c r="A93" t="s">
        <v>303</v>
      </c>
      <c r="B93" t="s">
        <v>304</v>
      </c>
      <c r="C93" t="s">
        <v>975</v>
      </c>
      <c r="D93" t="s">
        <v>870</v>
      </c>
      <c r="E93" t="s">
        <v>871</v>
      </c>
      <c r="F93" t="s">
        <v>807</v>
      </c>
    </row>
    <row r="94" spans="1:6" x14ac:dyDescent="0.25">
      <c r="A94" t="s">
        <v>306</v>
      </c>
      <c r="B94" t="s">
        <v>307</v>
      </c>
      <c r="C94" t="s">
        <v>976</v>
      </c>
      <c r="D94" t="s">
        <v>870</v>
      </c>
      <c r="E94" t="s">
        <v>871</v>
      </c>
      <c r="F94" t="s">
        <v>807</v>
      </c>
    </row>
    <row r="95" spans="1:6" x14ac:dyDescent="0.25">
      <c r="A95" t="s">
        <v>310</v>
      </c>
      <c r="B95" t="s">
        <v>311</v>
      </c>
      <c r="C95" t="s">
        <v>977</v>
      </c>
      <c r="D95" t="s">
        <v>870</v>
      </c>
      <c r="E95" t="s">
        <v>871</v>
      </c>
      <c r="F95" t="s">
        <v>807</v>
      </c>
    </row>
    <row r="96" spans="1:6" x14ac:dyDescent="0.25">
      <c r="A96" t="s">
        <v>313</v>
      </c>
      <c r="B96" t="s">
        <v>314</v>
      </c>
      <c r="C96" t="s">
        <v>978</v>
      </c>
      <c r="D96" t="s">
        <v>870</v>
      </c>
      <c r="E96" t="s">
        <v>871</v>
      </c>
      <c r="F96" t="s">
        <v>807</v>
      </c>
    </row>
    <row r="97" spans="1:6" x14ac:dyDescent="0.25">
      <c r="A97" t="s">
        <v>316</v>
      </c>
      <c r="B97" t="s">
        <v>317</v>
      </c>
      <c r="C97" t="s">
        <v>979</v>
      </c>
      <c r="D97" t="s">
        <v>870</v>
      </c>
      <c r="E97" t="s">
        <v>871</v>
      </c>
      <c r="F97" t="s">
        <v>807</v>
      </c>
    </row>
    <row r="98" spans="1:6" x14ac:dyDescent="0.25">
      <c r="A98" t="s">
        <v>319</v>
      </c>
      <c r="B98" t="s">
        <v>320</v>
      </c>
      <c r="C98" t="s">
        <v>980</v>
      </c>
      <c r="D98" t="s">
        <v>870</v>
      </c>
      <c r="E98" t="s">
        <v>871</v>
      </c>
      <c r="F98" t="s">
        <v>807</v>
      </c>
    </row>
    <row r="99" spans="1:6" x14ac:dyDescent="0.25">
      <c r="A99" t="s">
        <v>322</v>
      </c>
      <c r="B99" t="s">
        <v>323</v>
      </c>
      <c r="C99" t="s">
        <v>981</v>
      </c>
      <c r="D99" t="s">
        <v>870</v>
      </c>
      <c r="E99" t="s">
        <v>871</v>
      </c>
      <c r="F99" t="s">
        <v>807</v>
      </c>
    </row>
    <row r="100" spans="1:6" x14ac:dyDescent="0.25">
      <c r="A100" t="s">
        <v>325</v>
      </c>
      <c r="B100" t="s">
        <v>326</v>
      </c>
      <c r="C100" t="s">
        <v>982</v>
      </c>
      <c r="D100" t="s">
        <v>881</v>
      </c>
      <c r="E100" t="s">
        <v>983</v>
      </c>
      <c r="F100" t="s">
        <v>807</v>
      </c>
    </row>
    <row r="101" spans="1:6" x14ac:dyDescent="0.25">
      <c r="A101" t="s">
        <v>328</v>
      </c>
      <c r="B101" t="s">
        <v>329</v>
      </c>
      <c r="C101" t="s">
        <v>984</v>
      </c>
      <c r="D101" t="s">
        <v>870</v>
      </c>
      <c r="E101" t="s">
        <v>871</v>
      </c>
      <c r="F101" t="s">
        <v>807</v>
      </c>
    </row>
    <row r="102" spans="1:6" x14ac:dyDescent="0.25">
      <c r="A102" t="s">
        <v>331</v>
      </c>
      <c r="B102" t="s">
        <v>332</v>
      </c>
      <c r="C102" t="s">
        <v>985</v>
      </c>
      <c r="D102" t="s">
        <v>881</v>
      </c>
      <c r="E102" t="s">
        <v>986</v>
      </c>
      <c r="F102" t="s">
        <v>812</v>
      </c>
    </row>
    <row r="103" spans="1:6" x14ac:dyDescent="0.25">
      <c r="A103" t="s">
        <v>334</v>
      </c>
      <c r="B103" t="s">
        <v>335</v>
      </c>
      <c r="C103" t="s">
        <v>987</v>
      </c>
      <c r="D103" t="s">
        <v>881</v>
      </c>
      <c r="E103" t="s">
        <v>988</v>
      </c>
      <c r="F103" t="s">
        <v>812</v>
      </c>
    </row>
    <row r="104" spans="1:6" x14ac:dyDescent="0.25">
      <c r="A104" t="s">
        <v>336</v>
      </c>
      <c r="B104" t="s">
        <v>337</v>
      </c>
      <c r="C104" t="s">
        <v>989</v>
      </c>
      <c r="D104" t="s">
        <v>870</v>
      </c>
      <c r="E104" t="s">
        <v>871</v>
      </c>
      <c r="F104" t="s">
        <v>338</v>
      </c>
    </row>
    <row r="105" spans="1:6" x14ac:dyDescent="0.25">
      <c r="A105" t="s">
        <v>340</v>
      </c>
      <c r="B105" t="s">
        <v>341</v>
      </c>
      <c r="C105" t="s">
        <v>990</v>
      </c>
      <c r="D105" t="s">
        <v>870</v>
      </c>
      <c r="E105" t="s">
        <v>871</v>
      </c>
      <c r="F105" t="s">
        <v>338</v>
      </c>
    </row>
    <row r="106" spans="1:6" x14ac:dyDescent="0.25">
      <c r="A106" t="s">
        <v>343</v>
      </c>
      <c r="B106" t="s">
        <v>344</v>
      </c>
      <c r="C106" t="s">
        <v>991</v>
      </c>
      <c r="D106" t="s">
        <v>870</v>
      </c>
      <c r="E106" t="s">
        <v>871</v>
      </c>
      <c r="F106" t="s">
        <v>363</v>
      </c>
    </row>
    <row r="107" spans="1:6" x14ac:dyDescent="0.25">
      <c r="A107" t="s">
        <v>347</v>
      </c>
      <c r="B107" t="s">
        <v>119</v>
      </c>
      <c r="C107" t="s">
        <v>908</v>
      </c>
      <c r="D107" t="s">
        <v>870</v>
      </c>
      <c r="E107" t="s">
        <v>871</v>
      </c>
      <c r="F107" t="s">
        <v>363</v>
      </c>
    </row>
    <row r="108" spans="1:6" x14ac:dyDescent="0.25">
      <c r="A108" t="s">
        <v>349</v>
      </c>
      <c r="B108" t="s">
        <v>350</v>
      </c>
      <c r="C108" t="s">
        <v>992</v>
      </c>
      <c r="D108" t="s">
        <v>870</v>
      </c>
      <c r="E108" t="s">
        <v>871</v>
      </c>
      <c r="F108" t="s">
        <v>363</v>
      </c>
    </row>
    <row r="109" spans="1:6" x14ac:dyDescent="0.25">
      <c r="A109" t="s">
        <v>353</v>
      </c>
      <c r="B109" t="s">
        <v>354</v>
      </c>
      <c r="C109" t="s">
        <v>993</v>
      </c>
      <c r="D109" t="s">
        <v>870</v>
      </c>
      <c r="E109" t="s">
        <v>871</v>
      </c>
      <c r="F109" t="s">
        <v>363</v>
      </c>
    </row>
    <row r="110" spans="1:6" x14ac:dyDescent="0.25">
      <c r="A110" t="s">
        <v>356</v>
      </c>
      <c r="B110" t="s">
        <v>357</v>
      </c>
      <c r="C110" t="s">
        <v>994</v>
      </c>
      <c r="D110" t="s">
        <v>870</v>
      </c>
      <c r="E110" t="s">
        <v>871</v>
      </c>
      <c r="F110" t="s">
        <v>363</v>
      </c>
    </row>
    <row r="111" spans="1:6" x14ac:dyDescent="0.25">
      <c r="A111" t="s">
        <v>359</v>
      </c>
      <c r="B111" t="s">
        <v>360</v>
      </c>
      <c r="C111" t="s">
        <v>995</v>
      </c>
      <c r="D111" t="s">
        <v>870</v>
      </c>
      <c r="E111" t="s">
        <v>871</v>
      </c>
      <c r="F111" t="s">
        <v>363</v>
      </c>
    </row>
    <row r="112" spans="1:6" x14ac:dyDescent="0.25">
      <c r="A112" t="s">
        <v>361</v>
      </c>
      <c r="B112" t="s">
        <v>362</v>
      </c>
      <c r="C112" t="s">
        <v>996</v>
      </c>
      <c r="D112" t="s">
        <v>870</v>
      </c>
      <c r="E112" t="s">
        <v>871</v>
      </c>
      <c r="F112" t="s">
        <v>363</v>
      </c>
    </row>
    <row r="113" spans="1:6" x14ac:dyDescent="0.25">
      <c r="A113" t="s">
        <v>365</v>
      </c>
      <c r="B113" t="s">
        <v>366</v>
      </c>
      <c r="C113" t="s">
        <v>997</v>
      </c>
      <c r="D113" t="s">
        <v>870</v>
      </c>
      <c r="E113" t="s">
        <v>871</v>
      </c>
      <c r="F113" t="s">
        <v>819</v>
      </c>
    </row>
    <row r="114" spans="1:6" x14ac:dyDescent="0.25">
      <c r="A114" t="s">
        <v>369</v>
      </c>
      <c r="B114" t="s">
        <v>370</v>
      </c>
      <c r="C114" t="s">
        <v>998</v>
      </c>
      <c r="D114" t="s">
        <v>870</v>
      </c>
      <c r="E114" t="s">
        <v>871</v>
      </c>
      <c r="F114" t="s">
        <v>819</v>
      </c>
    </row>
    <row r="115" spans="1:6" x14ac:dyDescent="0.25">
      <c r="A115" t="s">
        <v>373</v>
      </c>
      <c r="B115" t="s">
        <v>374</v>
      </c>
      <c r="C115" t="s">
        <v>999</v>
      </c>
      <c r="D115" t="s">
        <v>870</v>
      </c>
      <c r="E115" t="s">
        <v>871</v>
      </c>
      <c r="F115" t="s">
        <v>819</v>
      </c>
    </row>
    <row r="116" spans="1:6" x14ac:dyDescent="0.25">
      <c r="A116" t="s">
        <v>376</v>
      </c>
      <c r="B116" t="s">
        <v>377</v>
      </c>
      <c r="C116" t="s">
        <v>1000</v>
      </c>
      <c r="D116" t="s">
        <v>870</v>
      </c>
      <c r="E116" t="s">
        <v>871</v>
      </c>
      <c r="F116" t="s">
        <v>819</v>
      </c>
    </row>
    <row r="117" spans="1:6" x14ac:dyDescent="0.25">
      <c r="A117" t="s">
        <v>380</v>
      </c>
      <c r="B117" t="s">
        <v>381</v>
      </c>
      <c r="C117" t="s">
        <v>1001</v>
      </c>
      <c r="D117" t="s">
        <v>870</v>
      </c>
      <c r="E117" t="s">
        <v>871</v>
      </c>
      <c r="F117" t="s">
        <v>819</v>
      </c>
    </row>
    <row r="118" spans="1:6" x14ac:dyDescent="0.25">
      <c r="A118" t="s">
        <v>384</v>
      </c>
      <c r="B118" t="s">
        <v>385</v>
      </c>
      <c r="C118" t="s">
        <v>1002</v>
      </c>
      <c r="D118" t="s">
        <v>870</v>
      </c>
      <c r="E118" t="s">
        <v>871</v>
      </c>
      <c r="F118" t="s">
        <v>819</v>
      </c>
    </row>
    <row r="119" spans="1:6" x14ac:dyDescent="0.25">
      <c r="A119" t="s">
        <v>387</v>
      </c>
      <c r="B119" t="s">
        <v>388</v>
      </c>
      <c r="C119" t="s">
        <v>1003</v>
      </c>
      <c r="D119" t="s">
        <v>870</v>
      </c>
      <c r="E119" t="s">
        <v>871</v>
      </c>
      <c r="F119" t="s">
        <v>819</v>
      </c>
    </row>
    <row r="120" spans="1:6" x14ac:dyDescent="0.25">
      <c r="A120" t="s">
        <v>390</v>
      </c>
      <c r="B120" t="s">
        <v>391</v>
      </c>
      <c r="C120" t="s">
        <v>1004</v>
      </c>
      <c r="D120" t="s">
        <v>870</v>
      </c>
      <c r="E120" t="s">
        <v>871</v>
      </c>
      <c r="F120" t="s">
        <v>819</v>
      </c>
    </row>
    <row r="121" spans="1:6" x14ac:dyDescent="0.25">
      <c r="A121" t="s">
        <v>393</v>
      </c>
      <c r="B121" t="s">
        <v>394</v>
      </c>
      <c r="C121" t="s">
        <v>1005</v>
      </c>
      <c r="D121" t="s">
        <v>870</v>
      </c>
      <c r="E121" t="s">
        <v>871</v>
      </c>
      <c r="F121" t="s">
        <v>819</v>
      </c>
    </row>
    <row r="122" spans="1:6" x14ac:dyDescent="0.25">
      <c r="A122" t="s">
        <v>397</v>
      </c>
      <c r="B122" t="s">
        <v>398</v>
      </c>
      <c r="C122" t="s">
        <v>1006</v>
      </c>
      <c r="D122" t="s">
        <v>881</v>
      </c>
      <c r="E122" t="s">
        <v>1007</v>
      </c>
      <c r="F122" t="s">
        <v>819</v>
      </c>
    </row>
    <row r="123" spans="1:6" x14ac:dyDescent="0.25">
      <c r="A123" t="s">
        <v>400</v>
      </c>
      <c r="B123" t="s">
        <v>401</v>
      </c>
      <c r="C123" t="s">
        <v>1008</v>
      </c>
      <c r="D123" t="s">
        <v>881</v>
      </c>
      <c r="E123" t="s">
        <v>1007</v>
      </c>
      <c r="F123" t="s">
        <v>819</v>
      </c>
    </row>
    <row r="124" spans="1:6" x14ac:dyDescent="0.25">
      <c r="A124" t="s">
        <v>404</v>
      </c>
      <c r="B124" t="s">
        <v>405</v>
      </c>
      <c r="C124" t="s">
        <v>1009</v>
      </c>
      <c r="D124" t="s">
        <v>881</v>
      </c>
      <c r="E124" t="s">
        <v>1007</v>
      </c>
      <c r="F124" t="s">
        <v>819</v>
      </c>
    </row>
    <row r="125" spans="1:6" x14ac:dyDescent="0.25">
      <c r="A125" t="s">
        <v>407</v>
      </c>
      <c r="B125" t="s">
        <v>408</v>
      </c>
      <c r="C125" t="s">
        <v>1010</v>
      </c>
      <c r="D125" t="s">
        <v>881</v>
      </c>
      <c r="E125" t="s">
        <v>1007</v>
      </c>
      <c r="F125" t="s">
        <v>819</v>
      </c>
    </row>
    <row r="126" spans="1:6" x14ac:dyDescent="0.25">
      <c r="A126" t="s">
        <v>410</v>
      </c>
      <c r="B126" t="s">
        <v>411</v>
      </c>
      <c r="C126" t="s">
        <v>1011</v>
      </c>
      <c r="D126" t="s">
        <v>881</v>
      </c>
      <c r="E126" t="s">
        <v>1007</v>
      </c>
      <c r="F126" t="s">
        <v>819</v>
      </c>
    </row>
    <row r="127" spans="1:6" x14ac:dyDescent="0.25">
      <c r="A127" t="s">
        <v>413</v>
      </c>
      <c r="B127" t="s">
        <v>414</v>
      </c>
      <c r="C127" t="s">
        <v>1012</v>
      </c>
      <c r="D127" t="s">
        <v>881</v>
      </c>
      <c r="E127" t="s">
        <v>1013</v>
      </c>
      <c r="F127" t="s">
        <v>589</v>
      </c>
    </row>
    <row r="128" spans="1:6" x14ac:dyDescent="0.25">
      <c r="A128" t="s">
        <v>416</v>
      </c>
      <c r="B128" t="s">
        <v>417</v>
      </c>
      <c r="C128" t="s">
        <v>1014</v>
      </c>
      <c r="D128" t="s">
        <v>881</v>
      </c>
      <c r="E128" t="s">
        <v>1013</v>
      </c>
      <c r="F128" t="s">
        <v>589</v>
      </c>
    </row>
    <row r="129" spans="1:6" x14ac:dyDescent="0.25">
      <c r="A129" t="s">
        <v>419</v>
      </c>
      <c r="B129" t="s">
        <v>420</v>
      </c>
      <c r="C129" t="s">
        <v>1015</v>
      </c>
      <c r="D129" t="s">
        <v>881</v>
      </c>
      <c r="E129" t="s">
        <v>1013</v>
      </c>
      <c r="F129" t="s">
        <v>589</v>
      </c>
    </row>
    <row r="130" spans="1:6" x14ac:dyDescent="0.25">
      <c r="A130" t="s">
        <v>422</v>
      </c>
      <c r="B130" t="s">
        <v>423</v>
      </c>
      <c r="C130" t="s">
        <v>1016</v>
      </c>
      <c r="D130" t="s">
        <v>881</v>
      </c>
      <c r="E130" t="s">
        <v>1013</v>
      </c>
      <c r="F130" t="s">
        <v>589</v>
      </c>
    </row>
    <row r="131" spans="1:6" x14ac:dyDescent="0.25">
      <c r="A131" t="s">
        <v>425</v>
      </c>
      <c r="B131" t="s">
        <v>426</v>
      </c>
      <c r="C131" t="s">
        <v>1017</v>
      </c>
      <c r="D131" t="s">
        <v>881</v>
      </c>
      <c r="E131" t="s">
        <v>1013</v>
      </c>
      <c r="F131" t="s">
        <v>589</v>
      </c>
    </row>
    <row r="132" spans="1:6" x14ac:dyDescent="0.25">
      <c r="A132" t="s">
        <v>428</v>
      </c>
      <c r="B132" t="s">
        <v>429</v>
      </c>
      <c r="C132" t="s">
        <v>1018</v>
      </c>
      <c r="D132" t="s">
        <v>881</v>
      </c>
      <c r="E132" t="s">
        <v>1013</v>
      </c>
      <c r="F132" t="s">
        <v>589</v>
      </c>
    </row>
    <row r="133" spans="1:6" x14ac:dyDescent="0.25">
      <c r="A133" t="s">
        <v>431</v>
      </c>
      <c r="B133" t="s">
        <v>432</v>
      </c>
      <c r="C133" t="s">
        <v>1019</v>
      </c>
      <c r="D133" t="s">
        <v>881</v>
      </c>
      <c r="E133" t="s">
        <v>1013</v>
      </c>
      <c r="F133" t="s">
        <v>589</v>
      </c>
    </row>
    <row r="134" spans="1:6" x14ac:dyDescent="0.25">
      <c r="A134" t="s">
        <v>434</v>
      </c>
      <c r="B134" t="s">
        <v>435</v>
      </c>
      <c r="C134" t="s">
        <v>1020</v>
      </c>
      <c r="D134" t="s">
        <v>881</v>
      </c>
      <c r="E134" t="s">
        <v>1013</v>
      </c>
      <c r="F134" t="s">
        <v>589</v>
      </c>
    </row>
    <row r="135" spans="1:6" x14ac:dyDescent="0.25">
      <c r="A135" t="s">
        <v>437</v>
      </c>
      <c r="B135" t="s">
        <v>438</v>
      </c>
      <c r="C135" t="s">
        <v>1021</v>
      </c>
      <c r="D135" t="s">
        <v>881</v>
      </c>
      <c r="E135" t="s">
        <v>1013</v>
      </c>
      <c r="F135" t="s">
        <v>589</v>
      </c>
    </row>
    <row r="136" spans="1:6" x14ac:dyDescent="0.25">
      <c r="A136" t="s">
        <v>440</v>
      </c>
      <c r="B136" t="s">
        <v>441</v>
      </c>
      <c r="C136" t="s">
        <v>1022</v>
      </c>
      <c r="D136" t="s">
        <v>881</v>
      </c>
      <c r="E136" t="s">
        <v>1013</v>
      </c>
      <c r="F136" t="s">
        <v>589</v>
      </c>
    </row>
    <row r="137" spans="1:6" x14ac:dyDescent="0.25">
      <c r="A137" t="s">
        <v>443</v>
      </c>
      <c r="B137" t="s">
        <v>444</v>
      </c>
      <c r="C137" t="s">
        <v>1023</v>
      </c>
      <c r="D137" t="s">
        <v>881</v>
      </c>
      <c r="E137" t="s">
        <v>1013</v>
      </c>
      <c r="F137" t="s">
        <v>589</v>
      </c>
    </row>
    <row r="138" spans="1:6" x14ac:dyDescent="0.25">
      <c r="A138" t="s">
        <v>749</v>
      </c>
      <c r="B138" t="s">
        <v>750</v>
      </c>
      <c r="C138" t="s">
        <v>1024</v>
      </c>
      <c r="D138" t="s">
        <v>1025</v>
      </c>
      <c r="E138" t="s">
        <v>1026</v>
      </c>
      <c r="F138" t="s">
        <v>1027</v>
      </c>
    </row>
    <row r="139" spans="1:6" x14ac:dyDescent="0.25">
      <c r="A139" t="s">
        <v>751</v>
      </c>
      <c r="B139" t="s">
        <v>752</v>
      </c>
      <c r="C139" t="s">
        <v>1028</v>
      </c>
      <c r="D139" t="s">
        <v>1025</v>
      </c>
      <c r="E139" t="s">
        <v>1029</v>
      </c>
      <c r="F139" t="s">
        <v>1027</v>
      </c>
    </row>
    <row r="140" spans="1:6" x14ac:dyDescent="0.25">
      <c r="A140" t="s">
        <v>753</v>
      </c>
      <c r="B140" t="s">
        <v>754</v>
      </c>
      <c r="C140" t="s">
        <v>1030</v>
      </c>
      <c r="D140" t="s">
        <v>1025</v>
      </c>
      <c r="E140" t="s">
        <v>1031</v>
      </c>
      <c r="F140" t="s">
        <v>1027</v>
      </c>
    </row>
    <row r="141" spans="1:6" x14ac:dyDescent="0.25">
      <c r="A141" t="s">
        <v>755</v>
      </c>
      <c r="B141" t="s">
        <v>756</v>
      </c>
      <c r="C141" t="s">
        <v>1032</v>
      </c>
      <c r="D141" t="s">
        <v>1025</v>
      </c>
      <c r="E141" t="s">
        <v>1033</v>
      </c>
      <c r="F141" t="s">
        <v>1027</v>
      </c>
    </row>
    <row r="142" spans="1:6" x14ac:dyDescent="0.25">
      <c r="A142" t="s">
        <v>590</v>
      </c>
      <c r="B142" t="s">
        <v>591</v>
      </c>
      <c r="C142" t="s">
        <v>1034</v>
      </c>
      <c r="D142" t="s">
        <v>705</v>
      </c>
      <c r="E142" t="s">
        <v>1035</v>
      </c>
      <c r="F142" t="s">
        <v>834</v>
      </c>
    </row>
    <row r="143" spans="1:6" x14ac:dyDescent="0.25">
      <c r="A143" t="s">
        <v>593</v>
      </c>
      <c r="B143" t="s">
        <v>594</v>
      </c>
      <c r="C143" t="s">
        <v>1036</v>
      </c>
      <c r="D143" t="s">
        <v>705</v>
      </c>
      <c r="E143" t="s">
        <v>1035</v>
      </c>
      <c r="F143" t="s">
        <v>834</v>
      </c>
    </row>
    <row r="144" spans="1:6" x14ac:dyDescent="0.25">
      <c r="A144" t="s">
        <v>596</v>
      </c>
      <c r="B144" t="s">
        <v>597</v>
      </c>
      <c r="C144" t="s">
        <v>1037</v>
      </c>
      <c r="D144" t="s">
        <v>705</v>
      </c>
      <c r="E144" t="s">
        <v>1035</v>
      </c>
      <c r="F144" t="s">
        <v>834</v>
      </c>
    </row>
    <row r="145" spans="1:6" x14ac:dyDescent="0.25">
      <c r="A145" t="s">
        <v>598</v>
      </c>
      <c r="B145" t="s">
        <v>599</v>
      </c>
      <c r="C145" t="s">
        <v>1038</v>
      </c>
      <c r="D145" t="s">
        <v>705</v>
      </c>
      <c r="E145" t="s">
        <v>1035</v>
      </c>
      <c r="F145" t="s">
        <v>834</v>
      </c>
    </row>
    <row r="146" spans="1:6" x14ac:dyDescent="0.25">
      <c r="A146" t="s">
        <v>600</v>
      </c>
      <c r="B146" t="s">
        <v>601</v>
      </c>
      <c r="C146" t="s">
        <v>1039</v>
      </c>
      <c r="D146" t="s">
        <v>705</v>
      </c>
      <c r="E146" t="s">
        <v>1035</v>
      </c>
      <c r="F146" t="s">
        <v>834</v>
      </c>
    </row>
    <row r="147" spans="1:6" x14ac:dyDescent="0.25">
      <c r="A147" t="s">
        <v>603</v>
      </c>
      <c r="B147" t="s">
        <v>604</v>
      </c>
      <c r="C147" t="s">
        <v>1040</v>
      </c>
      <c r="D147" t="s">
        <v>705</v>
      </c>
      <c r="E147" t="s">
        <v>1035</v>
      </c>
      <c r="F147" t="s">
        <v>834</v>
      </c>
    </row>
    <row r="148" spans="1:6" x14ac:dyDescent="0.25">
      <c r="A148" t="s">
        <v>605</v>
      </c>
      <c r="B148" t="s">
        <v>606</v>
      </c>
      <c r="C148" t="s">
        <v>1041</v>
      </c>
      <c r="D148" t="s">
        <v>705</v>
      </c>
      <c r="E148" t="s">
        <v>1035</v>
      </c>
      <c r="F148" t="s">
        <v>834</v>
      </c>
    </row>
    <row r="149" spans="1:6" x14ac:dyDescent="0.25">
      <c r="A149" t="s">
        <v>607</v>
      </c>
      <c r="B149" t="s">
        <v>608</v>
      </c>
      <c r="C149" t="s">
        <v>1042</v>
      </c>
      <c r="D149" t="s">
        <v>705</v>
      </c>
      <c r="E149" t="s">
        <v>1035</v>
      </c>
      <c r="F149" t="s">
        <v>834</v>
      </c>
    </row>
    <row r="150" spans="1:6" x14ac:dyDescent="0.25">
      <c r="A150" t="s">
        <v>609</v>
      </c>
      <c r="B150" t="s">
        <v>610</v>
      </c>
      <c r="C150" t="s">
        <v>1043</v>
      </c>
      <c r="D150" t="s">
        <v>705</v>
      </c>
      <c r="E150" t="s">
        <v>1035</v>
      </c>
      <c r="F150" t="s">
        <v>834</v>
      </c>
    </row>
    <row r="151" spans="1:6" x14ac:dyDescent="0.25">
      <c r="A151" t="s">
        <v>612</v>
      </c>
      <c r="B151" t="s">
        <v>613</v>
      </c>
      <c r="C151" t="s">
        <v>1044</v>
      </c>
      <c r="D151" t="s">
        <v>705</v>
      </c>
      <c r="E151" t="s">
        <v>1035</v>
      </c>
      <c r="F151" t="s">
        <v>834</v>
      </c>
    </row>
    <row r="152" spans="1:6" x14ac:dyDescent="0.25">
      <c r="A152" t="s">
        <v>614</v>
      </c>
      <c r="B152" t="s">
        <v>615</v>
      </c>
      <c r="C152" t="s">
        <v>1045</v>
      </c>
      <c r="D152" t="s">
        <v>705</v>
      </c>
      <c r="E152" t="s">
        <v>1035</v>
      </c>
      <c r="F152" t="s">
        <v>834</v>
      </c>
    </row>
    <row r="153" spans="1:6" x14ac:dyDescent="0.25">
      <c r="A153" t="s">
        <v>616</v>
      </c>
      <c r="B153" t="s">
        <v>617</v>
      </c>
      <c r="C153" t="s">
        <v>1046</v>
      </c>
      <c r="D153" t="s">
        <v>705</v>
      </c>
      <c r="E153" t="s">
        <v>1035</v>
      </c>
      <c r="F153" t="s">
        <v>834</v>
      </c>
    </row>
    <row r="154" spans="1:6" x14ac:dyDescent="0.25">
      <c r="A154" t="s">
        <v>619</v>
      </c>
      <c r="B154" t="s">
        <v>620</v>
      </c>
      <c r="C154" t="s">
        <v>1047</v>
      </c>
      <c r="D154" t="s">
        <v>705</v>
      </c>
      <c r="E154" t="s">
        <v>1035</v>
      </c>
      <c r="F154" t="s">
        <v>834</v>
      </c>
    </row>
    <row r="155" spans="1:6" x14ac:dyDescent="0.25">
      <c r="A155" t="s">
        <v>621</v>
      </c>
      <c r="B155" t="s">
        <v>622</v>
      </c>
      <c r="C155" t="s">
        <v>1048</v>
      </c>
      <c r="D155" t="s">
        <v>705</v>
      </c>
      <c r="E155" t="s">
        <v>1035</v>
      </c>
      <c r="F155" t="s">
        <v>834</v>
      </c>
    </row>
    <row r="156" spans="1:6" x14ac:dyDescent="0.25">
      <c r="A156" t="s">
        <v>623</v>
      </c>
      <c r="B156" t="s">
        <v>624</v>
      </c>
      <c r="C156" t="s">
        <v>1049</v>
      </c>
      <c r="D156" t="s">
        <v>705</v>
      </c>
      <c r="E156" t="s">
        <v>1035</v>
      </c>
      <c r="F156" t="s">
        <v>834</v>
      </c>
    </row>
    <row r="157" spans="1:6" x14ac:dyDescent="0.25">
      <c r="A157" t="s">
        <v>625</v>
      </c>
      <c r="B157" t="s">
        <v>626</v>
      </c>
      <c r="C157" t="s">
        <v>1050</v>
      </c>
      <c r="D157" t="s">
        <v>705</v>
      </c>
      <c r="E157" t="s">
        <v>1035</v>
      </c>
      <c r="F157" t="s">
        <v>834</v>
      </c>
    </row>
    <row r="158" spans="1:6" x14ac:dyDescent="0.25">
      <c r="A158" t="s">
        <v>628</v>
      </c>
      <c r="B158" t="s">
        <v>629</v>
      </c>
      <c r="C158" t="s">
        <v>1051</v>
      </c>
      <c r="D158" t="s">
        <v>705</v>
      </c>
      <c r="E158" t="s">
        <v>1035</v>
      </c>
      <c r="F158" t="s">
        <v>834</v>
      </c>
    </row>
    <row r="159" spans="1:6" x14ac:dyDescent="0.25">
      <c r="A159" t="s">
        <v>631</v>
      </c>
      <c r="B159" t="s">
        <v>632</v>
      </c>
      <c r="C159" t="s">
        <v>1052</v>
      </c>
      <c r="D159" t="s">
        <v>705</v>
      </c>
      <c r="E159" t="s">
        <v>1035</v>
      </c>
      <c r="F159" t="s">
        <v>834</v>
      </c>
    </row>
    <row r="160" spans="1:6" x14ac:dyDescent="0.25">
      <c r="A160" t="s">
        <v>634</v>
      </c>
      <c r="B160" t="s">
        <v>635</v>
      </c>
      <c r="C160" t="s">
        <v>1053</v>
      </c>
      <c r="D160" t="s">
        <v>705</v>
      </c>
      <c r="E160" t="s">
        <v>1035</v>
      </c>
      <c r="F160" t="s">
        <v>834</v>
      </c>
    </row>
    <row r="161" spans="1:6" x14ac:dyDescent="0.25">
      <c r="A161" t="s">
        <v>637</v>
      </c>
      <c r="B161" t="s">
        <v>638</v>
      </c>
      <c r="C161" t="s">
        <v>971</v>
      </c>
      <c r="D161" t="s">
        <v>705</v>
      </c>
      <c r="E161" t="s">
        <v>1035</v>
      </c>
      <c r="F161" t="s">
        <v>834</v>
      </c>
    </row>
    <row r="162" spans="1:6" x14ac:dyDescent="0.25">
      <c r="A162" t="s">
        <v>639</v>
      </c>
      <c r="B162" t="s">
        <v>640</v>
      </c>
      <c r="C162" t="s">
        <v>1054</v>
      </c>
      <c r="D162" t="s">
        <v>705</v>
      </c>
      <c r="E162" t="s">
        <v>1035</v>
      </c>
      <c r="F162" t="s">
        <v>838</v>
      </c>
    </row>
    <row r="163" spans="1:6" x14ac:dyDescent="0.25">
      <c r="A163" t="s">
        <v>642</v>
      </c>
      <c r="B163" t="s">
        <v>643</v>
      </c>
      <c r="C163" t="s">
        <v>1055</v>
      </c>
      <c r="D163" t="s">
        <v>705</v>
      </c>
      <c r="E163" t="s">
        <v>1035</v>
      </c>
      <c r="F163" t="s">
        <v>838</v>
      </c>
    </row>
    <row r="164" spans="1:6" x14ac:dyDescent="0.25">
      <c r="A164" t="s">
        <v>645</v>
      </c>
      <c r="B164" t="s">
        <v>646</v>
      </c>
      <c r="C164" t="s">
        <v>1056</v>
      </c>
      <c r="D164" t="s">
        <v>705</v>
      </c>
      <c r="E164" t="s">
        <v>1035</v>
      </c>
      <c r="F164" t="s">
        <v>838</v>
      </c>
    </row>
    <row r="165" spans="1:6" x14ac:dyDescent="0.25">
      <c r="A165" t="s">
        <v>648</v>
      </c>
      <c r="B165" t="s">
        <v>649</v>
      </c>
      <c r="C165" t="s">
        <v>1057</v>
      </c>
      <c r="D165" t="s">
        <v>705</v>
      </c>
      <c r="E165" t="s">
        <v>1035</v>
      </c>
      <c r="F165" t="s">
        <v>838</v>
      </c>
    </row>
    <row r="166" spans="1:6" x14ac:dyDescent="0.25">
      <c r="A166" t="s">
        <v>650</v>
      </c>
      <c r="B166" t="s">
        <v>651</v>
      </c>
      <c r="C166" t="s">
        <v>1058</v>
      </c>
      <c r="D166" t="s">
        <v>705</v>
      </c>
      <c r="E166" t="s">
        <v>1035</v>
      </c>
      <c r="F166" t="s">
        <v>838</v>
      </c>
    </row>
    <row r="167" spans="1:6" x14ac:dyDescent="0.25">
      <c r="A167" t="s">
        <v>653</v>
      </c>
      <c r="B167" t="s">
        <v>654</v>
      </c>
      <c r="C167" t="s">
        <v>1059</v>
      </c>
      <c r="D167" t="s">
        <v>705</v>
      </c>
      <c r="E167" t="s">
        <v>1035</v>
      </c>
      <c r="F167" t="s">
        <v>838</v>
      </c>
    </row>
    <row r="168" spans="1:6" x14ac:dyDescent="0.25">
      <c r="A168" t="s">
        <v>656</v>
      </c>
      <c r="B168" t="s">
        <v>657</v>
      </c>
      <c r="C168" t="s">
        <v>1060</v>
      </c>
      <c r="D168" t="s">
        <v>705</v>
      </c>
      <c r="E168" t="s">
        <v>1035</v>
      </c>
      <c r="F168" t="s">
        <v>838</v>
      </c>
    </row>
    <row r="169" spans="1:6" x14ac:dyDescent="0.25">
      <c r="A169" t="s">
        <v>659</v>
      </c>
      <c r="B169" t="s">
        <v>660</v>
      </c>
      <c r="C169" t="s">
        <v>1061</v>
      </c>
      <c r="D169" t="s">
        <v>705</v>
      </c>
      <c r="E169" t="s">
        <v>1035</v>
      </c>
      <c r="F169" t="s">
        <v>838</v>
      </c>
    </row>
    <row r="170" spans="1:6" x14ac:dyDescent="0.25">
      <c r="A170" t="s">
        <v>662</v>
      </c>
      <c r="B170" t="s">
        <v>663</v>
      </c>
      <c r="C170" t="s">
        <v>931</v>
      </c>
      <c r="D170" t="s">
        <v>705</v>
      </c>
      <c r="E170" t="s">
        <v>1035</v>
      </c>
      <c r="F170" t="s">
        <v>838</v>
      </c>
    </row>
    <row r="171" spans="1:6" x14ac:dyDescent="0.25">
      <c r="A171" t="s">
        <v>664</v>
      </c>
      <c r="B171" t="s">
        <v>665</v>
      </c>
      <c r="C171" t="s">
        <v>1062</v>
      </c>
      <c r="D171" t="s">
        <v>705</v>
      </c>
      <c r="E171" t="s">
        <v>1035</v>
      </c>
      <c r="F171" t="s">
        <v>838</v>
      </c>
    </row>
    <row r="172" spans="1:6" x14ac:dyDescent="0.25">
      <c r="A172" t="s">
        <v>666</v>
      </c>
      <c r="B172" t="s">
        <v>667</v>
      </c>
      <c r="C172" t="s">
        <v>1063</v>
      </c>
      <c r="D172" t="s">
        <v>705</v>
      </c>
      <c r="E172" t="s">
        <v>1035</v>
      </c>
      <c r="F172" t="s">
        <v>838</v>
      </c>
    </row>
    <row r="173" spans="1:6" x14ac:dyDescent="0.25">
      <c r="A173" t="s">
        <v>669</v>
      </c>
      <c r="B173" t="s">
        <v>670</v>
      </c>
      <c r="C173" t="s">
        <v>1064</v>
      </c>
      <c r="D173" t="s">
        <v>705</v>
      </c>
      <c r="E173" t="s">
        <v>1035</v>
      </c>
      <c r="F173" t="s">
        <v>838</v>
      </c>
    </row>
    <row r="174" spans="1:6" x14ac:dyDescent="0.25">
      <c r="A174" t="s">
        <v>672</v>
      </c>
      <c r="B174" t="s">
        <v>673</v>
      </c>
      <c r="C174" t="s">
        <v>1065</v>
      </c>
      <c r="D174" t="s">
        <v>705</v>
      </c>
      <c r="E174" t="s">
        <v>1035</v>
      </c>
      <c r="F174" t="s">
        <v>838</v>
      </c>
    </row>
    <row r="175" spans="1:6" x14ac:dyDescent="0.25">
      <c r="A175" t="s">
        <v>674</v>
      </c>
      <c r="B175" t="s">
        <v>675</v>
      </c>
      <c r="C175" t="s">
        <v>1066</v>
      </c>
      <c r="D175" t="s">
        <v>705</v>
      </c>
      <c r="E175" t="s">
        <v>1035</v>
      </c>
      <c r="F175" t="s">
        <v>838</v>
      </c>
    </row>
    <row r="176" spans="1:6" x14ac:dyDescent="0.25">
      <c r="A176" t="s">
        <v>677</v>
      </c>
      <c r="B176" t="s">
        <v>678</v>
      </c>
      <c r="C176" t="s">
        <v>1067</v>
      </c>
      <c r="D176" t="s">
        <v>705</v>
      </c>
      <c r="E176" t="s">
        <v>1035</v>
      </c>
      <c r="F176" t="s">
        <v>838</v>
      </c>
    </row>
    <row r="177" spans="1:6" x14ac:dyDescent="0.25">
      <c r="A177" t="s">
        <v>680</v>
      </c>
      <c r="B177" t="s">
        <v>681</v>
      </c>
      <c r="C177" t="s">
        <v>1068</v>
      </c>
      <c r="D177" t="s">
        <v>705</v>
      </c>
      <c r="E177" t="s">
        <v>1035</v>
      </c>
      <c r="F177" t="s">
        <v>838</v>
      </c>
    </row>
    <row r="178" spans="1:6" x14ac:dyDescent="0.25">
      <c r="A178" t="s">
        <v>682</v>
      </c>
      <c r="B178" t="s">
        <v>683</v>
      </c>
      <c r="C178" t="s">
        <v>1069</v>
      </c>
      <c r="D178" t="s">
        <v>705</v>
      </c>
      <c r="E178" t="s">
        <v>1035</v>
      </c>
      <c r="F178" t="s">
        <v>838</v>
      </c>
    </row>
    <row r="179" spans="1:6" x14ac:dyDescent="0.25">
      <c r="A179" t="s">
        <v>684</v>
      </c>
      <c r="B179" t="s">
        <v>685</v>
      </c>
      <c r="C179" t="s">
        <v>1070</v>
      </c>
      <c r="D179" t="s">
        <v>705</v>
      </c>
      <c r="E179" t="s">
        <v>1035</v>
      </c>
      <c r="F179" t="s">
        <v>838</v>
      </c>
    </row>
    <row r="180" spans="1:6" x14ac:dyDescent="0.25">
      <c r="A180" t="s">
        <v>686</v>
      </c>
      <c r="B180" t="s">
        <v>687</v>
      </c>
      <c r="C180" t="s">
        <v>1071</v>
      </c>
      <c r="D180" t="s">
        <v>705</v>
      </c>
      <c r="E180" t="s">
        <v>1035</v>
      </c>
      <c r="F180" t="s">
        <v>838</v>
      </c>
    </row>
    <row r="181" spans="1:6" x14ac:dyDescent="0.25">
      <c r="A181" t="s">
        <v>688</v>
      </c>
      <c r="B181" t="s">
        <v>689</v>
      </c>
      <c r="C181" t="s">
        <v>1072</v>
      </c>
      <c r="D181" t="s">
        <v>705</v>
      </c>
      <c r="E181" t="s">
        <v>1035</v>
      </c>
      <c r="F181" t="s">
        <v>838</v>
      </c>
    </row>
    <row r="182" spans="1:6" x14ac:dyDescent="0.25">
      <c r="A182" t="s">
        <v>691</v>
      </c>
      <c r="B182" t="s">
        <v>692</v>
      </c>
      <c r="C182" t="s">
        <v>1073</v>
      </c>
      <c r="D182" t="s">
        <v>705</v>
      </c>
      <c r="E182" t="s">
        <v>1035</v>
      </c>
      <c r="F182" t="s">
        <v>838</v>
      </c>
    </row>
    <row r="183" spans="1:6" x14ac:dyDescent="0.25">
      <c r="A183" t="s">
        <v>693</v>
      </c>
      <c r="B183" t="s">
        <v>694</v>
      </c>
      <c r="C183" t="s">
        <v>1074</v>
      </c>
      <c r="D183" t="s">
        <v>705</v>
      </c>
      <c r="E183" t="s">
        <v>1035</v>
      </c>
      <c r="F183" t="s">
        <v>838</v>
      </c>
    </row>
    <row r="184" spans="1:6" x14ac:dyDescent="0.25">
      <c r="A184" t="s">
        <v>696</v>
      </c>
      <c r="B184" t="s">
        <v>697</v>
      </c>
      <c r="C184" t="s">
        <v>950</v>
      </c>
      <c r="D184" t="s">
        <v>705</v>
      </c>
      <c r="E184" t="s">
        <v>1035</v>
      </c>
      <c r="F184" t="s">
        <v>838</v>
      </c>
    </row>
    <row r="185" spans="1:6" x14ac:dyDescent="0.25">
      <c r="A185" t="s">
        <v>699</v>
      </c>
      <c r="B185" t="s">
        <v>700</v>
      </c>
      <c r="C185" t="s">
        <v>1075</v>
      </c>
      <c r="D185" t="s">
        <v>705</v>
      </c>
      <c r="E185" t="s">
        <v>1035</v>
      </c>
      <c r="F185" t="s">
        <v>838</v>
      </c>
    </row>
    <row r="186" spans="1:6" x14ac:dyDescent="0.25">
      <c r="A186" t="s">
        <v>701</v>
      </c>
      <c r="B186" t="s">
        <v>702</v>
      </c>
      <c r="C186" t="s">
        <v>1076</v>
      </c>
      <c r="D186" t="s">
        <v>705</v>
      </c>
      <c r="E186" t="s">
        <v>1035</v>
      </c>
      <c r="F186" t="s">
        <v>838</v>
      </c>
    </row>
    <row r="187" spans="1:6" x14ac:dyDescent="0.25">
      <c r="A187" t="s">
        <v>703</v>
      </c>
      <c r="B187" t="s">
        <v>704</v>
      </c>
      <c r="C187" t="s">
        <v>1077</v>
      </c>
      <c r="D187" t="s">
        <v>705</v>
      </c>
      <c r="E187" t="s">
        <v>1035</v>
      </c>
      <c r="F187" t="s">
        <v>838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Prompt</vt:lpstr>
      <vt:lpstr>CasoUso</vt:lpstr>
      <vt:lpstr>Hoja3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WardenClyffe</dc:creator>
  <cp:lastModifiedBy>WardenClyffe</cp:lastModifiedBy>
  <cp:lastPrinted>2026-08-24T23:33:11Z</cp:lastPrinted>
  <dcterms:created xsi:type="dcterms:W3CDTF">2026-08-24T21:54:51Z</dcterms:created>
  <dcterms:modified xsi:type="dcterms:W3CDTF">2026-09-02T18:02:02Z</dcterms:modified>
</cp:coreProperties>
</file>